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b4f6SzmGEfSSWklEd30dL8qClLrjyztWr5oziAZ9UE="/>
    </ext>
  </extLst>
</workbook>
</file>

<file path=xl/sharedStrings.xml><?xml version="1.0" encoding="utf-8"?>
<sst xmlns="http://schemas.openxmlformats.org/spreadsheetml/2006/main" count="234" uniqueCount="139">
  <si>
    <t>No</t>
  </si>
  <si>
    <t>Nama Produk</t>
  </si>
  <si>
    <t>HPP</t>
  </si>
  <si>
    <t>Keuntungan</t>
  </si>
  <si>
    <t>Presentase Keuntungan</t>
  </si>
  <si>
    <t xml:space="preserve">Harga Jual </t>
  </si>
  <si>
    <t xml:space="preserve">Jumlah Produksi </t>
  </si>
  <si>
    <t>Pendapatan</t>
  </si>
  <si>
    <t>Profit Bersih</t>
  </si>
  <si>
    <t>Susu Coklat</t>
  </si>
  <si>
    <t>Susu Caramel</t>
  </si>
  <si>
    <t>Susu Taro</t>
  </si>
  <si>
    <t>Column1</t>
  </si>
  <si>
    <t xml:space="preserve">Kuartal 1 </t>
  </si>
  <si>
    <t xml:space="preserve">Kuartal 2 </t>
  </si>
  <si>
    <t xml:space="preserve">Kuartal 3 </t>
  </si>
  <si>
    <t xml:space="preserve">Kuartal 4 </t>
  </si>
  <si>
    <t xml:space="preserve">Kuartal 5 </t>
  </si>
  <si>
    <t xml:space="preserve">Kuartal 6 </t>
  </si>
  <si>
    <t xml:space="preserve">Kuartal 7 </t>
  </si>
  <si>
    <t xml:space="preserve">Kuartal 8 </t>
  </si>
  <si>
    <t>Susu Tiramisu</t>
  </si>
  <si>
    <t>Pemasukan</t>
  </si>
  <si>
    <t>Susu Original</t>
  </si>
  <si>
    <t>Pengeluaran</t>
  </si>
  <si>
    <t>Total</t>
  </si>
  <si>
    <t>Jenis Pengeluaran</t>
  </si>
  <si>
    <t>Vol (ml/gr)</t>
  </si>
  <si>
    <t xml:space="preserve">Harga Satuan (Rp) </t>
  </si>
  <si>
    <t>Total (Rp)</t>
  </si>
  <si>
    <t>Keterangan</t>
  </si>
  <si>
    <t>Uraian</t>
  </si>
  <si>
    <t>Bulan</t>
  </si>
  <si>
    <t xml:space="preserve">Belanja Alat &amp; Bahan </t>
  </si>
  <si>
    <t>Bulan 1</t>
  </si>
  <si>
    <t>Bulan 2</t>
  </si>
  <si>
    <t>Bulan 3</t>
  </si>
  <si>
    <t>Bulan 4</t>
  </si>
  <si>
    <t>Bulan 5</t>
  </si>
  <si>
    <t>Bulan 6</t>
  </si>
  <si>
    <t>Bulan 7</t>
  </si>
  <si>
    <t>Bulan 8</t>
  </si>
  <si>
    <t>Arumdalu</t>
  </si>
  <si>
    <t>DONE</t>
  </si>
  <si>
    <t>300ml</t>
  </si>
  <si>
    <t>Arummanis</t>
  </si>
  <si>
    <t>25ml</t>
  </si>
  <si>
    <t xml:space="preserve">Saldo awal </t>
  </si>
  <si>
    <t>Sekarwangi</t>
  </si>
  <si>
    <t>Arabika</t>
  </si>
  <si>
    <t>Bubuk Coklat</t>
  </si>
  <si>
    <t>Gula</t>
  </si>
  <si>
    <t>Es Batu</t>
  </si>
  <si>
    <t>Tutup Gelas</t>
  </si>
  <si>
    <t>Sub total pemasukan</t>
  </si>
  <si>
    <t>Isi Ulang LPG</t>
  </si>
  <si>
    <t>Gelas Takar</t>
  </si>
  <si>
    <t>Pembelian Bahan Habis Pakai</t>
  </si>
  <si>
    <t>Jigger</t>
  </si>
  <si>
    <t>Shaker</t>
  </si>
  <si>
    <t>Kompor</t>
  </si>
  <si>
    <t>Regulator</t>
  </si>
  <si>
    <t>LPG</t>
  </si>
  <si>
    <t>Panci</t>
  </si>
  <si>
    <t>Kursi</t>
  </si>
  <si>
    <t>Meja</t>
  </si>
  <si>
    <t xml:space="preserve"> </t>
  </si>
  <si>
    <t>Ember</t>
  </si>
  <si>
    <t>Spons</t>
  </si>
  <si>
    <t>Styrofoam Box</t>
  </si>
  <si>
    <t>Centong</t>
  </si>
  <si>
    <t>Black Board</t>
  </si>
  <si>
    <t>Tempat Bubuk</t>
  </si>
  <si>
    <t>Asbak</t>
  </si>
  <si>
    <t>Kain Taplak</t>
  </si>
  <si>
    <t>Garpu</t>
  </si>
  <si>
    <t>Sendok</t>
  </si>
  <si>
    <t>Gelas Cup</t>
  </si>
  <si>
    <t>Lampu</t>
  </si>
  <si>
    <t>Mixer</t>
  </si>
  <si>
    <t>Selang Regulator</t>
  </si>
  <si>
    <t>Kerat</t>
  </si>
  <si>
    <t>Mangkok</t>
  </si>
  <si>
    <t xml:space="preserve">Sub total </t>
  </si>
  <si>
    <t>Mobil</t>
  </si>
  <si>
    <t xml:space="preserve">Belanja Sewa </t>
  </si>
  <si>
    <t xml:space="preserve">Biaya perjalanan pengambilan bahan baku </t>
  </si>
  <si>
    <t xml:space="preserve">Biaya survei bahan baku </t>
  </si>
  <si>
    <t xml:space="preserve">Perjalanan Lokal </t>
  </si>
  <si>
    <t>Sewa Tempat</t>
  </si>
  <si>
    <t xml:space="preserve">Pegawai </t>
  </si>
  <si>
    <t>Sub total pengeluaran</t>
  </si>
  <si>
    <t>Total Kas</t>
  </si>
  <si>
    <t xml:space="preserve">Lain-lain </t>
  </si>
  <si>
    <t xml:space="preserve">X banner </t>
  </si>
  <si>
    <t xml:space="preserve">Kartu nama </t>
  </si>
  <si>
    <t xml:space="preserve">Brosur </t>
  </si>
  <si>
    <t xml:space="preserve">Grand Total </t>
  </si>
  <si>
    <t>HPP SATUAN</t>
  </si>
  <si>
    <t xml:space="preserve">Harga </t>
  </si>
  <si>
    <t>Bahan Habis Pakai (60%)</t>
  </si>
  <si>
    <t xml:space="preserve">Susu </t>
  </si>
  <si>
    <t>250ml</t>
  </si>
  <si>
    <t xml:space="preserve">Benang </t>
  </si>
  <si>
    <t>175gr</t>
  </si>
  <si>
    <t xml:space="preserve">Kain Perca </t>
  </si>
  <si>
    <t>20ml</t>
  </si>
  <si>
    <t xml:space="preserve">Kemasan Besar </t>
  </si>
  <si>
    <t>Gelas</t>
  </si>
  <si>
    <t xml:space="preserve">Kemasan Kecil </t>
  </si>
  <si>
    <t xml:space="preserve">Total </t>
  </si>
  <si>
    <t xml:space="preserve">Kain Canvas </t>
  </si>
  <si>
    <t xml:space="preserve">Kain katun </t>
  </si>
  <si>
    <t>Susu</t>
  </si>
  <si>
    <t>Internet</t>
  </si>
  <si>
    <t>120gr</t>
  </si>
  <si>
    <t xml:space="preserve">Praktisi Fashion </t>
  </si>
  <si>
    <t>15gr</t>
  </si>
  <si>
    <t xml:space="preserve">Penggaris 1 meter </t>
  </si>
  <si>
    <t xml:space="preserve">Mesin jahit </t>
  </si>
  <si>
    <r>
      <rPr>
        <rFont val="Times New Roman"/>
        <color theme="1"/>
        <sz val="12.0"/>
      </rPr>
      <t xml:space="preserve">Paket bahan </t>
    </r>
    <r>
      <rPr>
        <rFont val="Times New Roman"/>
        <i/>
        <color theme="1"/>
        <sz val="12.0"/>
      </rPr>
      <t>working class</t>
    </r>
  </si>
  <si>
    <t xml:space="preserve">Pemotong kain </t>
  </si>
  <si>
    <t>Web</t>
  </si>
  <si>
    <t>Sewa dan Jasa (15%)</t>
  </si>
  <si>
    <t>Bubuk Caramel</t>
  </si>
  <si>
    <t>20gr</t>
  </si>
  <si>
    <t xml:space="preserve">Sewa foto studio </t>
  </si>
  <si>
    <t>Sewa Lightning</t>
  </si>
  <si>
    <t>Sewa Pekerja</t>
  </si>
  <si>
    <t>Sewa Mesin Bordir</t>
  </si>
  <si>
    <t xml:space="preserve">Sewa Mesin Jarit </t>
  </si>
  <si>
    <t>Transportasi (30%)</t>
  </si>
  <si>
    <t>Bubuk Taro</t>
  </si>
  <si>
    <t xml:space="preserve">   Survei bahan baku </t>
  </si>
  <si>
    <t xml:space="preserve">   Perjalanan </t>
  </si>
  <si>
    <t>Lain-lain (15%)</t>
  </si>
  <si>
    <t>Promosi (Kria Working class)</t>
  </si>
  <si>
    <t>Bubuk Tiramisu</t>
  </si>
  <si>
    <t>Total Keseluruhan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</si>
</sst>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[$Rp-421]* #,##0_-;_-[$Rp-421]* \-#,##0_-;_-[$Rp-421]* &quot;-&quot;??_-;_-@"/>
    <numFmt numFmtId="165" formatCode="_-&quot;Rp&quot;* #,##0_-;\-&quot;Rp&quot;* #,##0_-;_-&quot;Rp&quot;* &quot;-&quot;??_-;_-@"/>
    <numFmt numFmtId="166" formatCode="_(&quot;IDR&quot;* #,##0_);_(&quot;IDR&quot;* \(#,##0\);_(&quot;IDR&quot;* &quot;-&quot;_);_(@_)"/>
    <numFmt numFmtId="167" formatCode="_(* #,##0_);_(* \(#,##0\);_(* &quot;-&quot;_);_(@_)"/>
    <numFmt numFmtId="168" formatCode="_-[$Rp-421]* #,##0_-;\-[$Rp-421]* #,##0_-;_-[$Rp-421]* &quot;-&quot;_-;_-@"/>
    <numFmt numFmtId="169" formatCode="[$Rp-421]#,##0"/>
    <numFmt numFmtId="170" formatCode="_-[$Rp-421]* #,##0.00_-;_-[$Rp-421]* \-#,##0.00_-;_-[$Rp-421]* &quot;-&quot;??_-;_-@"/>
  </numFmts>
  <fonts count="12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Times New Roman"/>
    </font>
    <font>
      <b/>
      <color theme="1"/>
      <name val="Times New Roman"/>
    </font>
    <font>
      <sz val="12.0"/>
      <color theme="1"/>
      <name val="Times New Roman"/>
    </font>
    <font/>
    <font>
      <sz val="12.0"/>
      <color theme="0"/>
      <name val="Calibri"/>
    </font>
    <font>
      <u/>
      <sz val="12.0"/>
      <color rgb="FF000000"/>
      <name val="Calibri"/>
    </font>
    <font>
      <color theme="1"/>
      <name val="Times New Roman"/>
    </font>
    <font>
      <b/>
      <color theme="1"/>
      <name val="Calibri"/>
      <scheme val="minor"/>
    </font>
    <font>
      <b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D0CECE"/>
        <bgColor rgb="FFD0CEC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0" xfId="0" applyBorder="1" applyFont="1"/>
    <xf borderId="1" fillId="0" fontId="1" numFmtId="0" xfId="0" applyBorder="1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9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165" xfId="0" applyBorder="1" applyFont="1" applyNumberFormat="1"/>
    <xf borderId="0" fillId="0" fontId="2" numFmtId="165" xfId="0" applyFont="1" applyNumberFormat="1"/>
    <xf borderId="0" fillId="0" fontId="1" numFmtId="0" xfId="0" applyFont="1"/>
    <xf borderId="0" fillId="0" fontId="1" numFmtId="166" xfId="0" applyFont="1" applyNumberFormat="1"/>
    <xf borderId="0" fillId="0" fontId="2" numFmtId="0" xfId="0" applyFont="1"/>
    <xf borderId="1" fillId="0" fontId="1" numFmtId="167" xfId="0" applyBorder="1" applyFont="1" applyNumberFormat="1"/>
    <xf borderId="0" fillId="0" fontId="1" numFmtId="167" xfId="0" applyFont="1" applyNumberFormat="1"/>
    <xf borderId="2" fillId="0" fontId="1" numFmtId="167" xfId="0" applyBorder="1" applyFont="1" applyNumberFormat="1"/>
    <xf borderId="1" fillId="0" fontId="1" numFmtId="168" xfId="0" applyBorder="1" applyFont="1" applyNumberFormat="1"/>
    <xf borderId="0" fillId="0" fontId="1" numFmtId="168" xfId="0" applyFont="1" applyNumberFormat="1"/>
    <xf borderId="1" fillId="3" fontId="1" numFmtId="0" xfId="0" applyAlignment="1" applyBorder="1" applyFill="1" applyFont="1">
      <alignment shrinkToFit="0" wrapText="1"/>
    </xf>
    <xf borderId="1" fillId="3" fontId="1" numFmtId="0" xfId="0" applyBorder="1" applyFont="1"/>
    <xf borderId="1" fillId="3" fontId="1" numFmtId="165" xfId="0" applyAlignment="1" applyBorder="1" applyFont="1" applyNumberFormat="1">
      <alignment horizontal="center" vertical="center"/>
    </xf>
    <xf borderId="1" fillId="3" fontId="1" numFmtId="9" xfId="0" applyAlignment="1" applyBorder="1" applyFont="1" applyNumberFormat="1">
      <alignment horizontal="center" vertical="center"/>
    </xf>
    <xf borderId="1" fillId="3" fontId="1" numFmtId="167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wrapText="1"/>
    </xf>
    <xf borderId="0" fillId="0" fontId="1" numFmtId="167" xfId="0" applyFont="1" applyNumberFormat="1"/>
    <xf borderId="0" fillId="0" fontId="1" numFmtId="9" xfId="0" applyFont="1" applyNumberFormat="1"/>
    <xf borderId="1" fillId="0" fontId="3" numFmtId="16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/>
    </xf>
    <xf borderId="3" fillId="4" fontId="5" numFmtId="0" xfId="0" applyAlignment="1" applyBorder="1" applyFill="1" applyFont="1">
      <alignment horizontal="center" shrinkToFit="0" wrapText="1"/>
    </xf>
    <xf borderId="4" fillId="5" fontId="5" numFmtId="0" xfId="0" applyAlignment="1" applyBorder="1" applyFill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1" fillId="6" fontId="3" numFmtId="3" xfId="0" applyAlignment="1" applyBorder="1" applyFill="1" applyFont="1" applyNumberFormat="1">
      <alignment vertical="center"/>
    </xf>
    <xf borderId="1" fillId="6" fontId="3" numFmtId="169" xfId="0" applyAlignment="1" applyBorder="1" applyFont="1" applyNumberFormat="1">
      <alignment vertical="center"/>
    </xf>
    <xf borderId="1" fillId="6" fontId="5" numFmtId="169" xfId="0" applyAlignment="1" applyBorder="1" applyFont="1" applyNumberFormat="1">
      <alignment vertical="center"/>
    </xf>
    <xf borderId="1" fillId="6" fontId="2" numFmtId="0" xfId="0" applyBorder="1" applyFont="1"/>
    <xf borderId="7" fillId="0" fontId="6" numFmtId="0" xfId="0" applyBorder="1" applyFont="1"/>
    <xf borderId="1" fillId="7" fontId="5" numFmtId="0" xfId="0" applyAlignment="1" applyBorder="1" applyFill="1" applyFont="1">
      <alignment horizontal="center" readingOrder="0"/>
    </xf>
    <xf borderId="3" fillId="0" fontId="5" numFmtId="169" xfId="0" applyAlignment="1" applyBorder="1" applyFont="1" applyNumberFormat="1">
      <alignment horizontal="center" vertical="center"/>
    </xf>
    <xf borderId="1" fillId="0" fontId="5" numFmtId="169" xfId="0" applyAlignment="1" applyBorder="1" applyFont="1" applyNumberFormat="1">
      <alignment readingOrder="0" vertic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169" xfId="0" applyAlignment="1" applyBorder="1" applyFont="1" applyNumberFormat="1">
      <alignment vertical="center"/>
    </xf>
    <xf borderId="1" fillId="0" fontId="2" numFmtId="0" xfId="0" applyAlignment="1" applyBorder="1" applyFont="1">
      <alignment readingOrder="0"/>
    </xf>
    <xf borderId="0" fillId="0" fontId="1" numFmtId="168" xfId="0" applyAlignment="1" applyFont="1" applyNumberFormat="1">
      <alignment readingOrder="0"/>
    </xf>
    <xf borderId="0" fillId="0" fontId="2" numFmtId="169" xfId="0" applyFont="1" applyNumberFormat="1"/>
    <xf borderId="1" fillId="8" fontId="3" numFmtId="0" xfId="0" applyAlignment="1" applyBorder="1" applyFill="1" applyFont="1">
      <alignment shrinkToFit="0" wrapText="1"/>
    </xf>
    <xf borderId="1" fillId="8" fontId="5" numFmtId="168" xfId="0" applyBorder="1" applyFont="1" applyNumberFormat="1"/>
    <xf borderId="1" fillId="8" fontId="5" numFmtId="0" xfId="0" applyBorder="1" applyFont="1"/>
    <xf borderId="2" fillId="0" fontId="5" numFmtId="169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shrinkToFit="0" wrapText="1"/>
    </xf>
    <xf borderId="1" fillId="0" fontId="5" numFmtId="168" xfId="0" applyAlignment="1" applyBorder="1" applyFont="1" applyNumberFormat="1">
      <alignment readingOrder="0"/>
    </xf>
    <xf borderId="1" fillId="0" fontId="5" numFmtId="168" xfId="0" applyBorder="1" applyFont="1" applyNumberFormat="1"/>
    <xf borderId="1" fillId="0" fontId="1" numFmtId="168" xfId="0" applyAlignment="1" applyBorder="1" applyFont="1" applyNumberFormat="1">
      <alignment readingOrder="0"/>
    </xf>
    <xf borderId="1" fillId="0" fontId="5" numFmtId="3" xfId="0" applyAlignment="1" applyBorder="1" applyFont="1" applyNumberFormat="1">
      <alignment horizontal="center" readingOrder="0" vertical="center"/>
    </xf>
    <xf borderId="1" fillId="0" fontId="1" numFmtId="168" xfId="0" applyBorder="1" applyFont="1" applyNumberFormat="1"/>
    <xf borderId="1" fillId="9" fontId="5" numFmtId="0" xfId="0" applyAlignment="1" applyBorder="1" applyFill="1" applyFont="1">
      <alignment shrinkToFit="0" wrapText="1"/>
    </xf>
    <xf borderId="1" fillId="9" fontId="5" numFmtId="168" xfId="0" applyBorder="1" applyFont="1" applyNumberFormat="1"/>
    <xf borderId="1" fillId="0" fontId="5" numFmtId="169" xfId="0" applyBorder="1" applyFont="1" applyNumberFormat="1"/>
    <xf borderId="1" fillId="10" fontId="7" numFmtId="168" xfId="0" applyBorder="1" applyFill="1" applyFont="1" applyNumberFormat="1"/>
    <xf borderId="1" fillId="0" fontId="5" numFmtId="169" xfId="0" applyAlignment="1" applyBorder="1" applyFont="1" applyNumberFormat="1">
      <alignment readingOrder="0"/>
    </xf>
    <xf borderId="1" fillId="0" fontId="5" numFmtId="169" xfId="0" applyAlignment="1" applyBorder="1" applyFont="1" applyNumberFormat="1">
      <alignment shrinkToFit="0" vertical="center" wrapText="1"/>
    </xf>
    <xf borderId="1" fillId="0" fontId="8" numFmtId="168" xfId="0" applyAlignment="1" applyBorder="1" applyFont="1" applyNumberFormat="1">
      <alignment readingOrder="0" shrinkToFit="0" wrapText="1"/>
    </xf>
    <xf borderId="0" fillId="0" fontId="2" numFmtId="0" xfId="0" applyFont="1"/>
    <xf borderId="1" fillId="10" fontId="5" numFmtId="169" xfId="0" applyAlignment="1" applyBorder="1" applyFont="1" applyNumberFormat="1">
      <alignment vertical="center"/>
    </xf>
    <xf borderId="1" fillId="10" fontId="9" numFmtId="3" xfId="0" applyAlignment="1" applyBorder="1" applyFont="1" applyNumberFormat="1">
      <alignment horizontal="center" readingOrder="0"/>
    </xf>
    <xf borderId="1" fillId="10" fontId="9" numFmtId="169" xfId="0" applyAlignment="1" applyBorder="1" applyFont="1" applyNumberFormat="1">
      <alignment readingOrder="0"/>
    </xf>
    <xf borderId="1" fillId="10" fontId="9" numFmtId="169" xfId="0" applyBorder="1" applyFont="1" applyNumberFormat="1"/>
    <xf borderId="1" fillId="10" fontId="5" numFmtId="169" xfId="0" applyAlignment="1" applyBorder="1" applyFont="1" applyNumberFormat="1">
      <alignment shrinkToFit="0" vertical="center" wrapText="1"/>
    </xf>
    <xf borderId="1" fillId="10" fontId="5" numFmtId="169" xfId="0" applyAlignment="1" applyBorder="1" applyFont="1" applyNumberFormat="1">
      <alignment readingOrder="0"/>
    </xf>
    <xf borderId="1" fillId="0" fontId="9" numFmtId="3" xfId="0" applyAlignment="1" applyBorder="1" applyFont="1" applyNumberFormat="1">
      <alignment horizontal="center" readingOrder="0"/>
    </xf>
    <xf borderId="1" fillId="0" fontId="9" numFmtId="169" xfId="0" applyBorder="1" applyFont="1" applyNumberFormat="1"/>
    <xf borderId="1" fillId="0" fontId="9" numFmtId="169" xfId="0" applyAlignment="1" applyBorder="1" applyFont="1" applyNumberFormat="1">
      <alignment readingOrder="0"/>
    </xf>
    <xf borderId="1" fillId="0" fontId="2" numFmtId="0" xfId="0" applyBorder="1" applyFont="1"/>
    <xf borderId="1" fillId="0" fontId="5" numFmtId="169" xfId="0" applyAlignment="1" applyBorder="1" applyFont="1" applyNumberFormat="1">
      <alignment readingOrder="0" shrinkToFit="0" vertical="center" wrapText="1"/>
    </xf>
    <xf borderId="1" fillId="0" fontId="9" numFmtId="3" xfId="0" applyAlignment="1" applyBorder="1" applyFont="1" applyNumberFormat="1">
      <alignment horizontal="center"/>
    </xf>
    <xf borderId="1" fillId="0" fontId="9" numFmtId="3" xfId="0" applyAlignment="1" applyBorder="1" applyFont="1" applyNumberFormat="1">
      <alignment readingOrder="0"/>
    </xf>
    <xf borderId="7" fillId="0" fontId="5" numFmtId="169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wrapText="1"/>
    </xf>
    <xf borderId="4" fillId="8" fontId="5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vertical="center"/>
    </xf>
    <xf borderId="1" fillId="8" fontId="5" numFmtId="168" xfId="0" applyAlignment="1" applyBorder="1" applyFont="1" applyNumberFormat="1">
      <alignment vertical="center"/>
    </xf>
    <xf borderId="1" fillId="6" fontId="3" numFmtId="0" xfId="0" applyAlignment="1" applyBorder="1" applyFont="1">
      <alignment vertical="center"/>
    </xf>
    <xf borderId="1" fillId="6" fontId="5" numFmtId="0" xfId="0" applyAlignment="1" applyBorder="1" applyFont="1">
      <alignment horizontal="center" vertical="center"/>
    </xf>
    <xf borderId="1" fillId="6" fontId="5" numFmtId="168" xfId="0" applyAlignment="1" applyBorder="1" applyFont="1" applyNumberFormat="1">
      <alignment vertical="center"/>
    </xf>
    <xf borderId="1" fillId="0" fontId="5" numFmtId="0" xfId="0" applyAlignment="1" applyBorder="1" applyFont="1">
      <alignment shrinkToFit="0" vertical="center" wrapText="1"/>
    </xf>
    <xf borderId="1" fillId="8" fontId="5" numFmtId="168" xfId="0" applyAlignment="1" applyBorder="1" applyFont="1" applyNumberFormat="1">
      <alignment readingOrder="0" vertical="center"/>
    </xf>
    <xf borderId="0" fillId="0" fontId="9" numFmtId="0" xfId="0" applyAlignment="1" applyFont="1">
      <alignment readingOrder="0"/>
    </xf>
    <xf borderId="0" fillId="0" fontId="9" numFmtId="169" xfId="0" applyAlignment="1" applyFont="1" applyNumberFormat="1">
      <alignment readingOrder="0"/>
    </xf>
    <xf borderId="3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5" numFmtId="168" xfId="0" applyAlignment="1" applyBorder="1" applyFont="1" applyNumberFormat="1">
      <alignment vertical="center"/>
    </xf>
    <xf borderId="0" fillId="0" fontId="2" numFmtId="169" xfId="0" applyAlignment="1" applyFont="1" applyNumberFormat="1">
      <alignment readingOrder="0"/>
    </xf>
    <xf borderId="1" fillId="0" fontId="5" numFmtId="168" xfId="0" applyAlignment="1" applyBorder="1" applyFont="1" applyNumberFormat="1">
      <alignment readingOrder="0" vertical="center"/>
    </xf>
    <xf borderId="1" fillId="9" fontId="5" numFmtId="0" xfId="0" applyAlignment="1" applyBorder="1" applyFont="1">
      <alignment readingOrder="0" shrinkToFit="0" wrapText="1"/>
    </xf>
    <xf borderId="1" fillId="9" fontId="5" numFmtId="169" xfId="0" applyBorder="1" applyFont="1" applyNumberFormat="1"/>
    <xf borderId="1" fillId="11" fontId="5" numFmtId="0" xfId="0" applyAlignment="1" applyBorder="1" applyFill="1" applyFont="1">
      <alignment readingOrder="0" shrinkToFit="0" wrapText="1"/>
    </xf>
    <xf borderId="1" fillId="11" fontId="5" numFmtId="169" xfId="0" applyBorder="1" applyFont="1" applyNumberFormat="1"/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1" fillId="8" fontId="3" numFmtId="0" xfId="0" applyAlignment="1" applyBorder="1" applyFont="1">
      <alignment horizontal="center" vertical="center"/>
    </xf>
    <xf borderId="8" fillId="12" fontId="3" numFmtId="0" xfId="0" applyAlignment="1" applyBorder="1" applyFill="1" applyFont="1">
      <alignment horizontal="center" vertical="center"/>
    </xf>
    <xf borderId="9" fillId="12" fontId="3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vertical="center"/>
    </xf>
    <xf borderId="1" fillId="12" fontId="5" numFmtId="168" xfId="0" applyAlignment="1" applyBorder="1" applyFont="1" applyNumberFormat="1">
      <alignment vertical="center"/>
    </xf>
    <xf borderId="0" fillId="0" fontId="10" numFmtId="0" xfId="0" applyAlignment="1" applyFont="1">
      <alignment horizontal="center" readingOrder="0"/>
    </xf>
    <xf borderId="1" fillId="0" fontId="1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/>
    </xf>
    <xf borderId="1" fillId="5" fontId="11" numFmtId="0" xfId="0" applyAlignment="1" applyBorder="1" applyFont="1">
      <alignment shrinkToFit="0" wrapText="1"/>
    </xf>
    <xf borderId="1" fillId="5" fontId="1" numFmtId="168" xfId="0" applyBorder="1" applyFont="1" applyNumberFormat="1"/>
    <xf borderId="1" fillId="0" fontId="1" numFmtId="0" xfId="0" applyAlignment="1" applyBorder="1" applyFont="1">
      <alignment readingOrder="0"/>
    </xf>
    <xf borderId="1" fillId="0" fontId="1" numFmtId="170" xfId="0" applyAlignment="1" applyBorder="1" applyFont="1" applyNumberFormat="1">
      <alignment readingOrder="0"/>
    </xf>
    <xf borderId="1" fillId="5" fontId="11" numFmtId="0" xfId="0" applyAlignment="1" applyBorder="1" applyFont="1">
      <alignment readingOrder="0"/>
    </xf>
    <xf borderId="1" fillId="5" fontId="1" numFmtId="170" xfId="0" applyBorder="1" applyFont="1" applyNumberFormat="1"/>
    <xf borderId="0" fillId="0" fontId="2" numFmtId="170" xfId="0" applyFont="1" applyNumberFormat="1"/>
    <xf borderId="1" fillId="0" fontId="5" numFmtId="165" xfId="0" applyAlignment="1" applyBorder="1" applyFont="1" applyNumberFormat="1">
      <alignment vertical="center"/>
    </xf>
    <xf borderId="0" fillId="0" fontId="2" numFmtId="170" xfId="0" applyAlignment="1" applyFont="1" applyNumberFormat="1">
      <alignment readingOrder="0"/>
    </xf>
    <xf borderId="0" fillId="0" fontId="2" numFmtId="170" xfId="0" applyAlignment="1" applyFont="1" applyNumberFormat="1">
      <alignment horizontal="left" readingOrder="0"/>
    </xf>
    <xf borderId="1" fillId="5" fontId="1" numFmtId="0" xfId="0" applyAlignment="1" applyBorder="1" applyFont="1">
      <alignment shrinkToFit="0" wrapText="1"/>
    </xf>
    <xf borderId="1" fillId="5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K4:S6" displayName="Table_1" name="Table_1" id="1">
  <tableColumns count="9">
    <tableColumn name="Column1" id="1"/>
    <tableColumn name="Kuartal 1 " id="2"/>
    <tableColumn name="Kuartal 2 " id="3"/>
    <tableColumn name="Kuartal 3 " id="4"/>
    <tableColumn name="Kuartal 4 " id="5"/>
    <tableColumn name="Kuartal 5 " id="6"/>
    <tableColumn name="Kuartal 6 " id="7"/>
    <tableColumn name="Kuartal 7 " id="8"/>
    <tableColumn name="Kuartal 8 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78"/>
    <col customWidth="1" min="2" max="2" width="14.78"/>
    <col customWidth="1" min="3" max="3" width="15.78"/>
    <col customWidth="1" min="4" max="4" width="14.78"/>
    <col customWidth="1" min="5" max="5" width="19.78"/>
    <col customWidth="1" min="6" max="6" width="16.11"/>
    <col customWidth="1" min="7" max="7" width="14.78"/>
    <col customWidth="1" min="8" max="8" width="18.44"/>
    <col customWidth="1" min="9" max="9" width="18.78"/>
    <col customWidth="1" min="10" max="10" width="12.78"/>
    <col customWidth="1" min="11" max="17" width="14.33"/>
    <col customWidth="1" min="18" max="18" width="39.44"/>
    <col customWidth="1" min="19" max="19" width="19.11"/>
    <col customWidth="1" min="20" max="20" width="23.78"/>
    <col customWidth="1" min="21" max="21" width="21.0"/>
    <col customWidth="1" min="22" max="22" width="22.56"/>
    <col customWidth="1" min="23" max="26" width="11.11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2</v>
      </c>
      <c r="I1" s="5" t="s">
        <v>7</v>
      </c>
      <c r="J1" s="6" t="s">
        <v>8</v>
      </c>
    </row>
    <row r="2" ht="15.75" customHeight="1">
      <c r="A2" s="7">
        <v>1.0</v>
      </c>
      <c r="B2" s="5" t="s">
        <v>9</v>
      </c>
      <c r="C2" s="8">
        <f>F84</f>
        <v>4540</v>
      </c>
      <c r="D2" s="9">
        <f t="shared" ref="D2:D6" si="1">F2-C2</f>
        <v>8460</v>
      </c>
      <c r="E2" s="10">
        <f t="shared" ref="E2:E6" si="2">(D2/C2)*100%</f>
        <v>1.863436123</v>
      </c>
      <c r="F2" s="11">
        <v>13000.0</v>
      </c>
      <c r="G2" s="12">
        <v>240.0</v>
      </c>
      <c r="H2" s="13">
        <f t="shared" ref="H2:H6" si="3">C2*G2</f>
        <v>1089600</v>
      </c>
      <c r="I2" s="13">
        <f t="shared" ref="I2:I6" si="4">F2*G2</f>
        <v>3120000</v>
      </c>
      <c r="J2" s="14">
        <f t="shared" ref="J2:J7" si="5">I2-H2</f>
        <v>2030400</v>
      </c>
      <c r="K2" s="15"/>
      <c r="L2" s="16"/>
      <c r="M2" s="16"/>
    </row>
    <row r="3" ht="15.75" customHeight="1">
      <c r="A3" s="7">
        <v>2.0</v>
      </c>
      <c r="B3" s="5" t="s">
        <v>10</v>
      </c>
      <c r="C3" s="8">
        <f>F91</f>
        <v>4790</v>
      </c>
      <c r="D3" s="9">
        <f t="shared" si="1"/>
        <v>8210</v>
      </c>
      <c r="E3" s="10">
        <f t="shared" si="2"/>
        <v>1.713987474</v>
      </c>
      <c r="F3" s="11">
        <v>13000.0</v>
      </c>
      <c r="G3" s="12">
        <v>240.0</v>
      </c>
      <c r="H3" s="13">
        <f t="shared" si="3"/>
        <v>1149600</v>
      </c>
      <c r="I3" s="13">
        <f t="shared" si="4"/>
        <v>3120000</v>
      </c>
      <c r="J3" s="14">
        <f t="shared" si="5"/>
        <v>1970400</v>
      </c>
    </row>
    <row r="4" ht="15.75" customHeight="1">
      <c r="A4" s="7">
        <v>3.0</v>
      </c>
      <c r="B4" s="5" t="s">
        <v>11</v>
      </c>
      <c r="C4" s="8">
        <f>F98</f>
        <v>4790</v>
      </c>
      <c r="D4" s="9">
        <f t="shared" si="1"/>
        <v>8210</v>
      </c>
      <c r="E4" s="10">
        <f t="shared" si="2"/>
        <v>1.713987474</v>
      </c>
      <c r="F4" s="11">
        <v>13000.0</v>
      </c>
      <c r="G4" s="12">
        <v>240.0</v>
      </c>
      <c r="H4" s="13">
        <f t="shared" si="3"/>
        <v>1149600</v>
      </c>
      <c r="I4" s="13">
        <f t="shared" si="4"/>
        <v>3120000</v>
      </c>
      <c r="J4" s="14">
        <f t="shared" si="5"/>
        <v>1970400</v>
      </c>
      <c r="K4" s="17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9" t="s">
        <v>19</v>
      </c>
      <c r="S4" s="20" t="s">
        <v>20</v>
      </c>
    </row>
    <row r="5" ht="15.75" customHeight="1">
      <c r="A5" s="7">
        <v>4.0</v>
      </c>
      <c r="B5" s="5" t="s">
        <v>21</v>
      </c>
      <c r="C5" s="8">
        <f>F105</f>
        <v>4790</v>
      </c>
      <c r="D5" s="9">
        <f t="shared" si="1"/>
        <v>8210</v>
      </c>
      <c r="E5" s="10">
        <f t="shared" si="2"/>
        <v>1.713987474</v>
      </c>
      <c r="F5" s="11">
        <v>13000.0</v>
      </c>
      <c r="G5" s="12">
        <v>240.0</v>
      </c>
      <c r="H5" s="13">
        <f t="shared" si="3"/>
        <v>1149600</v>
      </c>
      <c r="I5" s="13">
        <f t="shared" si="4"/>
        <v>3120000</v>
      </c>
      <c r="J5" s="14">
        <f t="shared" si="5"/>
        <v>1970400</v>
      </c>
      <c r="K5" s="17" t="s">
        <v>22</v>
      </c>
      <c r="L5" s="18">
        <f t="shared" ref="L5:S5" si="6">B20</f>
        <v>7959600</v>
      </c>
      <c r="M5" s="18">
        <f t="shared" si="6"/>
        <v>-4745280</v>
      </c>
      <c r="N5" s="18">
        <f t="shared" si="6"/>
        <v>6716544</v>
      </c>
      <c r="O5" s="18">
        <f t="shared" si="6"/>
        <v>20470732.8</v>
      </c>
      <c r="P5" s="18">
        <f t="shared" si="6"/>
        <v>36975759.36</v>
      </c>
      <c r="Q5" s="18">
        <f t="shared" si="6"/>
        <v>56781791.23</v>
      </c>
      <c r="R5" s="19">
        <f t="shared" si="6"/>
        <v>80549029.48</v>
      </c>
      <c r="S5" s="21">
        <f t="shared" si="6"/>
        <v>109069715.4</v>
      </c>
    </row>
    <row r="6" ht="15.75" customHeight="1">
      <c r="A6" s="7">
        <v>5.0</v>
      </c>
      <c r="B6" s="5" t="s">
        <v>23</v>
      </c>
      <c r="C6" s="8">
        <f>F77</f>
        <v>3945</v>
      </c>
      <c r="D6" s="9">
        <f t="shared" si="1"/>
        <v>6055</v>
      </c>
      <c r="E6" s="10">
        <f t="shared" si="2"/>
        <v>1.534854246</v>
      </c>
      <c r="F6" s="11">
        <v>10000.0</v>
      </c>
      <c r="G6" s="12">
        <v>240.0</v>
      </c>
      <c r="H6" s="13">
        <f t="shared" si="3"/>
        <v>946800</v>
      </c>
      <c r="I6" s="13">
        <f t="shared" si="4"/>
        <v>2400000</v>
      </c>
      <c r="J6" s="14">
        <f t="shared" si="5"/>
        <v>1453200</v>
      </c>
      <c r="K6" s="17" t="s">
        <v>24</v>
      </c>
      <c r="L6" s="19">
        <f t="shared" ref="L6:S6" si="7">B35</f>
        <v>25000</v>
      </c>
      <c r="M6" s="19">
        <f t="shared" si="7"/>
        <v>0</v>
      </c>
      <c r="N6" s="19">
        <f t="shared" si="7"/>
        <v>0</v>
      </c>
      <c r="O6" s="19">
        <f t="shared" si="7"/>
        <v>0</v>
      </c>
      <c r="P6" s="19">
        <f t="shared" si="7"/>
        <v>0</v>
      </c>
      <c r="Q6" s="19">
        <f t="shared" si="7"/>
        <v>0</v>
      </c>
      <c r="R6" s="19">
        <f t="shared" si="7"/>
        <v>0</v>
      </c>
      <c r="S6" s="22">
        <f t="shared" si="7"/>
        <v>0</v>
      </c>
    </row>
    <row r="7" ht="15.75" customHeight="1">
      <c r="A7" s="23"/>
      <c r="B7" s="24" t="s">
        <v>25</v>
      </c>
      <c r="C7" s="25">
        <f>sum(C2:C6)</f>
        <v>22855</v>
      </c>
      <c r="D7" s="25">
        <f>SUM(D2:D6)</f>
        <v>39145</v>
      </c>
      <c r="E7" s="26">
        <f>AVERAGE(E2:E6)</f>
        <v>1.708050558</v>
      </c>
      <c r="F7" s="25">
        <f t="shared" ref="F7:I7" si="8">SUM(F2:F6)</f>
        <v>62000</v>
      </c>
      <c r="G7" s="27">
        <f t="shared" si="8"/>
        <v>1200</v>
      </c>
      <c r="H7" s="13">
        <f t="shared" si="8"/>
        <v>5485200</v>
      </c>
      <c r="I7" s="13">
        <f t="shared" si="8"/>
        <v>14880000</v>
      </c>
      <c r="J7" s="14">
        <f t="shared" si="5"/>
        <v>9394800</v>
      </c>
    </row>
    <row r="8" ht="15.75" customHeight="1">
      <c r="A8" s="28"/>
      <c r="G8" s="6">
        <v>30.0</v>
      </c>
      <c r="L8" s="16"/>
      <c r="M8" s="16"/>
    </row>
    <row r="9" ht="15.75" customHeight="1">
      <c r="A9" s="28"/>
      <c r="C9" s="29"/>
      <c r="D9" s="29"/>
      <c r="E9" s="30"/>
      <c r="F9" s="29"/>
      <c r="G9" s="29"/>
      <c r="H9" s="29"/>
      <c r="I9" s="29"/>
      <c r="L9" s="16"/>
      <c r="M9" s="16"/>
    </row>
    <row r="10" ht="15.75" customHeight="1">
      <c r="A10" s="28"/>
      <c r="C10" s="29"/>
      <c r="D10" s="29"/>
      <c r="E10" s="30"/>
      <c r="F10" s="29"/>
      <c r="G10" s="29"/>
      <c r="H10" s="29"/>
      <c r="I10" s="29"/>
      <c r="L10" s="16"/>
      <c r="M10" s="16"/>
      <c r="Q10" s="31" t="s">
        <v>0</v>
      </c>
      <c r="R10" s="31" t="s">
        <v>26</v>
      </c>
      <c r="S10" s="31" t="s">
        <v>27</v>
      </c>
      <c r="T10" s="31" t="s">
        <v>28</v>
      </c>
      <c r="U10" s="31" t="s">
        <v>29</v>
      </c>
      <c r="V10" s="32" t="s">
        <v>30</v>
      </c>
    </row>
    <row r="11" ht="15.75" customHeight="1">
      <c r="A11" s="33" t="s">
        <v>31</v>
      </c>
      <c r="B11" s="34" t="s">
        <v>32</v>
      </c>
      <c r="C11" s="35"/>
      <c r="D11" s="35"/>
      <c r="E11" s="35"/>
      <c r="F11" s="35"/>
      <c r="G11" s="35"/>
      <c r="H11" s="35"/>
      <c r="I11" s="36"/>
      <c r="Q11" s="37">
        <v>1.0</v>
      </c>
      <c r="R11" s="38" t="s">
        <v>33</v>
      </c>
      <c r="S11" s="39"/>
      <c r="T11" s="39"/>
      <c r="U11" s="39"/>
      <c r="V11" s="40"/>
    </row>
    <row r="12" ht="15.75" customHeight="1">
      <c r="A12" s="41"/>
      <c r="B12" s="42" t="s">
        <v>34</v>
      </c>
      <c r="C12" s="42" t="s">
        <v>35</v>
      </c>
      <c r="D12" s="42" t="s">
        <v>36</v>
      </c>
      <c r="E12" s="42" t="s">
        <v>37</v>
      </c>
      <c r="F12" s="42" t="s">
        <v>38</v>
      </c>
      <c r="G12" s="42" t="s">
        <v>39</v>
      </c>
      <c r="H12" s="42" t="s">
        <v>40</v>
      </c>
      <c r="I12" s="42" t="s">
        <v>41</v>
      </c>
      <c r="Q12" s="43"/>
      <c r="R12" s="44" t="s">
        <v>42</v>
      </c>
      <c r="S12" s="45">
        <v>10000.0</v>
      </c>
      <c r="T12" s="46">
        <f t="shared" ref="T12:T18" si="9">U12/S12</f>
        <v>11</v>
      </c>
      <c r="U12" s="46">
        <v>110000.0</v>
      </c>
      <c r="V12" s="47" t="s">
        <v>43</v>
      </c>
      <c r="W12" s="48" t="s">
        <v>44</v>
      </c>
      <c r="X12" s="6">
        <v>230.0</v>
      </c>
      <c r="Y12" s="49">
        <f>T12*X12</f>
        <v>2530</v>
      </c>
    </row>
    <row r="13" ht="15.75" customHeight="1">
      <c r="A13" s="50" t="s">
        <v>22</v>
      </c>
      <c r="B13" s="51"/>
      <c r="C13" s="51"/>
      <c r="D13" s="51"/>
      <c r="E13" s="51"/>
      <c r="F13" s="51"/>
      <c r="G13" s="51"/>
      <c r="H13" s="51"/>
      <c r="I13" s="52"/>
      <c r="Q13" s="53"/>
      <c r="R13" s="44" t="s">
        <v>45</v>
      </c>
      <c r="S13" s="45">
        <v>750.0</v>
      </c>
      <c r="T13" s="46">
        <f t="shared" si="9"/>
        <v>105.3333333</v>
      </c>
      <c r="U13" s="46">
        <v>79000.0</v>
      </c>
      <c r="V13" s="47" t="s">
        <v>43</v>
      </c>
      <c r="W13" s="48" t="s">
        <v>46</v>
      </c>
    </row>
    <row r="14" ht="15.75" customHeight="1">
      <c r="A14" s="54" t="s">
        <v>47</v>
      </c>
      <c r="B14" s="55">
        <v>0.0</v>
      </c>
      <c r="C14" s="56">
        <f>B53</f>
        <v>-14296800</v>
      </c>
      <c r="D14" s="56">
        <f t="shared" ref="D14:I14" si="10">C20</f>
        <v>-4745280</v>
      </c>
      <c r="E14" s="56">
        <f t="shared" si="10"/>
        <v>6716544</v>
      </c>
      <c r="F14" s="56">
        <f t="shared" si="10"/>
        <v>20470732.8</v>
      </c>
      <c r="G14" s="56">
        <f t="shared" si="10"/>
        <v>36975759.36</v>
      </c>
      <c r="H14" s="56">
        <f t="shared" si="10"/>
        <v>56781791.23</v>
      </c>
      <c r="I14" s="56">
        <f t="shared" si="10"/>
        <v>80549029.48</v>
      </c>
      <c r="Q14" s="53"/>
      <c r="R14" s="44" t="s">
        <v>48</v>
      </c>
      <c r="S14" s="45">
        <v>1000.0</v>
      </c>
      <c r="T14" s="46">
        <f t="shared" si="9"/>
        <v>50</v>
      </c>
      <c r="U14" s="46">
        <v>50000.0</v>
      </c>
      <c r="V14" s="57" t="s">
        <v>43</v>
      </c>
    </row>
    <row r="15" ht="15.75" customHeight="1">
      <c r="A15" s="54" t="s">
        <v>9</v>
      </c>
      <c r="B15" s="55">
        <v>1658400.0</v>
      </c>
      <c r="C15" s="56">
        <f t="shared" ref="C15:I15" si="11">B15*1.2</f>
        <v>1990080</v>
      </c>
      <c r="D15" s="56">
        <f t="shared" si="11"/>
        <v>2388096</v>
      </c>
      <c r="E15" s="56">
        <f t="shared" si="11"/>
        <v>2865715.2</v>
      </c>
      <c r="F15" s="56">
        <f t="shared" si="11"/>
        <v>3438858.24</v>
      </c>
      <c r="G15" s="56">
        <f t="shared" si="11"/>
        <v>4126629.888</v>
      </c>
      <c r="H15" s="56">
        <f t="shared" si="11"/>
        <v>4951955.866</v>
      </c>
      <c r="I15" s="56">
        <f t="shared" si="11"/>
        <v>5942347.039</v>
      </c>
      <c r="Q15" s="53"/>
      <c r="R15" s="44" t="s">
        <v>49</v>
      </c>
      <c r="S15" s="45">
        <v>1000.0</v>
      </c>
      <c r="T15" s="46">
        <f t="shared" si="9"/>
        <v>50</v>
      </c>
      <c r="U15" s="46">
        <v>50000.0</v>
      </c>
      <c r="V15" s="57" t="s">
        <v>43</v>
      </c>
    </row>
    <row r="16" ht="15.75" customHeight="1">
      <c r="A16" s="54" t="s">
        <v>10</v>
      </c>
      <c r="B16" s="55">
        <v>1598400.0</v>
      </c>
      <c r="C16" s="56">
        <f t="shared" ref="C16:I16" si="12">B16*1.2</f>
        <v>1918080</v>
      </c>
      <c r="D16" s="56">
        <f t="shared" si="12"/>
        <v>2301696</v>
      </c>
      <c r="E16" s="56">
        <f t="shared" si="12"/>
        <v>2762035.2</v>
      </c>
      <c r="F16" s="56">
        <f t="shared" si="12"/>
        <v>3314442.24</v>
      </c>
      <c r="G16" s="56">
        <f t="shared" si="12"/>
        <v>3977330.688</v>
      </c>
      <c r="H16" s="56">
        <f t="shared" si="12"/>
        <v>4772796.826</v>
      </c>
      <c r="I16" s="56">
        <f t="shared" si="12"/>
        <v>5727356.191</v>
      </c>
      <c r="Q16" s="53"/>
      <c r="R16" s="46" t="s">
        <v>50</v>
      </c>
      <c r="S16" s="45">
        <v>1000.0</v>
      </c>
      <c r="T16" s="46">
        <f t="shared" si="9"/>
        <v>50</v>
      </c>
      <c r="U16" s="46">
        <v>50000.0</v>
      </c>
      <c r="V16" s="57" t="s">
        <v>43</v>
      </c>
    </row>
    <row r="17" ht="15.75" customHeight="1">
      <c r="A17" s="54" t="s">
        <v>11</v>
      </c>
      <c r="B17" s="55">
        <v>1598400.0</v>
      </c>
      <c r="C17" s="56">
        <f t="shared" ref="C17:I17" si="13">B17*1.2</f>
        <v>1918080</v>
      </c>
      <c r="D17" s="56">
        <f t="shared" si="13"/>
        <v>2301696</v>
      </c>
      <c r="E17" s="56">
        <f t="shared" si="13"/>
        <v>2762035.2</v>
      </c>
      <c r="F17" s="56">
        <f t="shared" si="13"/>
        <v>3314442.24</v>
      </c>
      <c r="G17" s="56">
        <f t="shared" si="13"/>
        <v>3977330.688</v>
      </c>
      <c r="H17" s="56">
        <f t="shared" si="13"/>
        <v>4772796.826</v>
      </c>
      <c r="I17" s="56">
        <f t="shared" si="13"/>
        <v>5727356.191</v>
      </c>
      <c r="Q17" s="53"/>
      <c r="R17" s="46" t="s">
        <v>51</v>
      </c>
      <c r="S17" s="45">
        <v>1000.0</v>
      </c>
      <c r="T17" s="46">
        <f t="shared" si="9"/>
        <v>20</v>
      </c>
      <c r="U17" s="46">
        <v>20000.0</v>
      </c>
      <c r="V17" s="57" t="s">
        <v>43</v>
      </c>
    </row>
    <row r="18" ht="15.75" customHeight="1">
      <c r="A18" s="54" t="s">
        <v>21</v>
      </c>
      <c r="B18" s="55">
        <v>1598400.0</v>
      </c>
      <c r="C18" s="56">
        <f t="shared" ref="C18:I18" si="14">B18*1.2</f>
        <v>1918080</v>
      </c>
      <c r="D18" s="56">
        <f t="shared" si="14"/>
        <v>2301696</v>
      </c>
      <c r="E18" s="56">
        <f t="shared" si="14"/>
        <v>2762035.2</v>
      </c>
      <c r="F18" s="56">
        <f t="shared" si="14"/>
        <v>3314442.24</v>
      </c>
      <c r="G18" s="56">
        <f t="shared" si="14"/>
        <v>3977330.688</v>
      </c>
      <c r="H18" s="56">
        <f t="shared" si="14"/>
        <v>4772796.826</v>
      </c>
      <c r="I18" s="56">
        <f t="shared" si="14"/>
        <v>5727356.191</v>
      </c>
      <c r="Q18" s="53"/>
      <c r="R18" s="46" t="s">
        <v>52</v>
      </c>
      <c r="S18" s="58">
        <v>6000.0</v>
      </c>
      <c r="T18" s="46">
        <f t="shared" si="9"/>
        <v>1</v>
      </c>
      <c r="U18" s="44">
        <v>6000.0</v>
      </c>
      <c r="V18" s="57" t="s">
        <v>43</v>
      </c>
      <c r="Y18" s="6" t="s">
        <v>30</v>
      </c>
    </row>
    <row r="19" ht="15.75" customHeight="1">
      <c r="A19" s="54" t="s">
        <v>23</v>
      </c>
      <c r="B19" s="55">
        <v>1506000.0</v>
      </c>
      <c r="C19" s="56">
        <f t="shared" ref="C19:I19" si="15">B19*1.2</f>
        <v>1807200</v>
      </c>
      <c r="D19" s="56">
        <f t="shared" si="15"/>
        <v>2168640</v>
      </c>
      <c r="E19" s="56">
        <f t="shared" si="15"/>
        <v>2602368</v>
      </c>
      <c r="F19" s="56">
        <f t="shared" si="15"/>
        <v>3122841.6</v>
      </c>
      <c r="G19" s="56">
        <f t="shared" si="15"/>
        <v>3747409.92</v>
      </c>
      <c r="H19" s="56">
        <f t="shared" si="15"/>
        <v>4496891.904</v>
      </c>
      <c r="I19" s="56">
        <f t="shared" si="15"/>
        <v>5396270.285</v>
      </c>
      <c r="Q19" s="53"/>
      <c r="R19" s="44" t="s">
        <v>53</v>
      </c>
      <c r="S19" s="58">
        <v>100.0</v>
      </c>
      <c r="T19" s="44">
        <v>240.0</v>
      </c>
      <c r="U19" s="46">
        <f>T19*S19</f>
        <v>24000</v>
      </c>
      <c r="V19" s="59"/>
    </row>
    <row r="20" ht="15.75" customHeight="1">
      <c r="A20" s="60" t="s">
        <v>54</v>
      </c>
      <c r="B20" s="61">
        <f t="shared" ref="B20:I20" si="16">sum(B14:B19)</f>
        <v>7959600</v>
      </c>
      <c r="C20" s="61">
        <f t="shared" si="16"/>
        <v>-4745280</v>
      </c>
      <c r="D20" s="61">
        <f t="shared" si="16"/>
        <v>6716544</v>
      </c>
      <c r="E20" s="61">
        <f t="shared" si="16"/>
        <v>20470732.8</v>
      </c>
      <c r="F20" s="61">
        <f t="shared" si="16"/>
        <v>36975759.36</v>
      </c>
      <c r="G20" s="61">
        <f t="shared" si="16"/>
        <v>56781791.23</v>
      </c>
      <c r="H20" s="61">
        <f t="shared" si="16"/>
        <v>80549029.48</v>
      </c>
      <c r="I20" s="61">
        <f t="shared" si="16"/>
        <v>109069715.4</v>
      </c>
      <c r="Q20" s="53"/>
      <c r="R20" s="46" t="s">
        <v>55</v>
      </c>
      <c r="S20" s="45">
        <v>1.0</v>
      </c>
      <c r="T20" s="62">
        <f>U20/S20</f>
        <v>30000</v>
      </c>
      <c r="U20" s="46">
        <v>30000.0</v>
      </c>
      <c r="V20" s="59"/>
    </row>
    <row r="21" ht="15.75" customHeight="1">
      <c r="A21" s="50" t="s">
        <v>24</v>
      </c>
      <c r="B21" s="51"/>
      <c r="C21" s="51"/>
      <c r="D21" s="51"/>
      <c r="E21" s="51"/>
      <c r="F21" s="51"/>
      <c r="G21" s="51"/>
      <c r="H21" s="51"/>
      <c r="I21" s="52"/>
      <c r="Q21" s="53"/>
      <c r="R21" s="46" t="s">
        <v>56</v>
      </c>
      <c r="S21" s="45">
        <v>1.0</v>
      </c>
      <c r="T21" s="46">
        <v>10000.0</v>
      </c>
      <c r="U21" s="46">
        <f t="shared" ref="U21:U22" si="18">S21*T21</f>
        <v>10000</v>
      </c>
      <c r="V21" s="63"/>
      <c r="X21" s="49">
        <f>sum(U12:U20)</f>
        <v>419000</v>
      </c>
    </row>
    <row r="22" ht="15.75" customHeight="1">
      <c r="A22" s="54" t="s">
        <v>57</v>
      </c>
      <c r="B22" s="64">
        <f>H7</f>
        <v>5485200</v>
      </c>
      <c r="C22" s="62">
        <f>B22*1.2</f>
        <v>6582240</v>
      </c>
      <c r="D22" s="62">
        <f t="shared" ref="D22:E22" si="17">C22*110%</f>
        <v>7240464</v>
      </c>
      <c r="E22" s="62">
        <f t="shared" si="17"/>
        <v>7964510.4</v>
      </c>
      <c r="F22" s="62">
        <f>E22*120%</f>
        <v>9557412.48</v>
      </c>
      <c r="G22" s="62">
        <f>F22*130%</f>
        <v>12424636.22</v>
      </c>
      <c r="H22" s="62">
        <f>G22*140%</f>
        <v>17394490.71</v>
      </c>
      <c r="I22" s="62">
        <f>H22*155%</f>
        <v>26961460.61</v>
      </c>
      <c r="Q22" s="53"/>
      <c r="R22" s="46" t="s">
        <v>58</v>
      </c>
      <c r="S22" s="45">
        <v>2.0</v>
      </c>
      <c r="T22" s="46">
        <v>15000.0</v>
      </c>
      <c r="U22" s="46">
        <f t="shared" si="18"/>
        <v>30000</v>
      </c>
      <c r="V22" s="63"/>
      <c r="X22" s="49">
        <f>sum(X21,U40)</f>
        <v>799000</v>
      </c>
    </row>
    <row r="23" ht="15.75" customHeight="1">
      <c r="A23" s="65" t="s">
        <v>56</v>
      </c>
      <c r="B23" s="44">
        <v>10000.0</v>
      </c>
      <c r="C23" s="64">
        <v>0.0</v>
      </c>
      <c r="D23" s="64">
        <v>0.0</v>
      </c>
      <c r="E23" s="64">
        <v>0.0</v>
      </c>
      <c r="F23" s="64">
        <v>0.0</v>
      </c>
      <c r="G23" s="64">
        <v>0.0</v>
      </c>
      <c r="H23" s="64">
        <v>0.0</v>
      </c>
      <c r="I23" s="64">
        <v>0.0</v>
      </c>
      <c r="Q23" s="53"/>
      <c r="R23" s="46" t="s">
        <v>59</v>
      </c>
      <c r="S23" s="45">
        <v>1.0</v>
      </c>
      <c r="T23" s="46">
        <f>U23/S23</f>
        <v>55000</v>
      </c>
      <c r="U23" s="46">
        <v>55000.0</v>
      </c>
      <c r="V23" s="63"/>
    </row>
    <row r="24" ht="15.75" customHeight="1">
      <c r="A24" s="65" t="s">
        <v>58</v>
      </c>
      <c r="B24" s="44">
        <v>15000.0</v>
      </c>
      <c r="C24" s="64">
        <v>0.0</v>
      </c>
      <c r="D24" s="64">
        <v>0.0</v>
      </c>
      <c r="E24" s="64">
        <v>0.0</v>
      </c>
      <c r="F24" s="64">
        <v>0.0</v>
      </c>
      <c r="G24" s="64">
        <v>0.0</v>
      </c>
      <c r="H24" s="64">
        <v>0.0</v>
      </c>
      <c r="I24" s="64">
        <v>0.0</v>
      </c>
      <c r="Q24" s="53"/>
      <c r="R24" s="46" t="s">
        <v>60</v>
      </c>
      <c r="S24" s="45">
        <v>1.0</v>
      </c>
      <c r="T24" s="46">
        <v>200000.0</v>
      </c>
      <c r="U24" s="46">
        <v>200000.0</v>
      </c>
      <c r="V24" s="66"/>
      <c r="X24" s="67">
        <f>50000/30</f>
        <v>1666.666667</v>
      </c>
    </row>
    <row r="25" ht="15.75" customHeight="1">
      <c r="A25" s="65" t="s">
        <v>59</v>
      </c>
      <c r="B25" s="46">
        <v>55000.0</v>
      </c>
      <c r="C25" s="64">
        <v>0.0</v>
      </c>
      <c r="D25" s="64">
        <v>0.0</v>
      </c>
      <c r="E25" s="64">
        <v>0.0</v>
      </c>
      <c r="F25" s="64">
        <v>0.0</v>
      </c>
      <c r="G25" s="64">
        <v>0.0</v>
      </c>
      <c r="H25" s="64">
        <v>0.0</v>
      </c>
      <c r="I25" s="64">
        <v>0.0</v>
      </c>
      <c r="Q25" s="53"/>
      <c r="R25" s="46" t="s">
        <v>61</v>
      </c>
      <c r="S25" s="45">
        <v>1.0</v>
      </c>
      <c r="T25" s="46">
        <v>90000.0</v>
      </c>
      <c r="U25" s="62">
        <v>90000.0</v>
      </c>
      <c r="V25" s="57"/>
    </row>
    <row r="26" ht="15.75" customHeight="1">
      <c r="A26" s="65" t="s">
        <v>60</v>
      </c>
      <c r="B26" s="46">
        <v>200000.0</v>
      </c>
      <c r="C26" s="64">
        <v>0.0</v>
      </c>
      <c r="D26" s="64">
        <v>0.0</v>
      </c>
      <c r="E26" s="64">
        <v>0.0</v>
      </c>
      <c r="F26" s="64">
        <v>0.0</v>
      </c>
      <c r="G26" s="64">
        <v>0.0</v>
      </c>
      <c r="H26" s="64">
        <v>0.0</v>
      </c>
      <c r="I26" s="64">
        <v>0.0</v>
      </c>
      <c r="Q26" s="53"/>
      <c r="R26" s="46" t="s">
        <v>62</v>
      </c>
      <c r="S26" s="45">
        <v>1.0</v>
      </c>
      <c r="T26" s="46">
        <v>200000.0</v>
      </c>
      <c r="U26" s="46">
        <v>200000.0</v>
      </c>
      <c r="V26" s="59"/>
    </row>
    <row r="27" ht="15.75" customHeight="1">
      <c r="A27" s="65" t="s">
        <v>61</v>
      </c>
      <c r="B27" s="62">
        <v>90000.0</v>
      </c>
      <c r="C27" s="64">
        <v>0.0</v>
      </c>
      <c r="D27" s="64">
        <v>0.0</v>
      </c>
      <c r="E27" s="64">
        <v>0.0</v>
      </c>
      <c r="F27" s="64">
        <v>0.0</v>
      </c>
      <c r="G27" s="64">
        <v>0.0</v>
      </c>
      <c r="H27" s="64">
        <v>0.0</v>
      </c>
      <c r="I27" s="64">
        <v>0.0</v>
      </c>
      <c r="Q27" s="53"/>
      <c r="R27" s="46" t="s">
        <v>63</v>
      </c>
      <c r="S27" s="45">
        <v>1.0</v>
      </c>
      <c r="T27" s="46">
        <v>75000.0</v>
      </c>
      <c r="U27" s="46">
        <v>75000.0</v>
      </c>
      <c r="V27" s="59"/>
    </row>
    <row r="28" ht="15.75" customHeight="1">
      <c r="A28" s="65" t="s">
        <v>62</v>
      </c>
      <c r="B28" s="46">
        <v>200000.0</v>
      </c>
      <c r="C28" s="64">
        <v>0.0</v>
      </c>
      <c r="D28" s="64">
        <v>0.0</v>
      </c>
      <c r="E28" s="64">
        <v>0.0</v>
      </c>
      <c r="F28" s="64">
        <v>0.0</v>
      </c>
      <c r="G28" s="64">
        <v>0.0</v>
      </c>
      <c r="H28" s="64">
        <v>0.0</v>
      </c>
      <c r="I28" s="64">
        <v>0.0</v>
      </c>
      <c r="Q28" s="53"/>
      <c r="R28" s="68" t="s">
        <v>64</v>
      </c>
      <c r="S28" s="69">
        <v>25.0</v>
      </c>
      <c r="T28" s="70">
        <v>55000.0</v>
      </c>
      <c r="U28" s="71">
        <f t="shared" ref="U28:U29" si="19">T28*S28</f>
        <v>1375000</v>
      </c>
      <c r="V28" s="59"/>
    </row>
    <row r="29" ht="15.75" customHeight="1">
      <c r="A29" s="65" t="s">
        <v>63</v>
      </c>
      <c r="B29" s="46">
        <v>75000.0</v>
      </c>
      <c r="C29" s="64">
        <v>0.0</v>
      </c>
      <c r="D29" s="64">
        <v>0.0</v>
      </c>
      <c r="E29" s="64">
        <v>0.0</v>
      </c>
      <c r="F29" s="64">
        <v>0.0</v>
      </c>
      <c r="G29" s="64">
        <v>0.0</v>
      </c>
      <c r="H29" s="64">
        <v>0.0</v>
      </c>
      <c r="I29" s="64">
        <v>0.0</v>
      </c>
      <c r="Q29" s="53"/>
      <c r="R29" s="68" t="s">
        <v>65</v>
      </c>
      <c r="S29" s="69">
        <v>4.0</v>
      </c>
      <c r="T29" s="70">
        <v>100000.0</v>
      </c>
      <c r="U29" s="71">
        <f t="shared" si="19"/>
        <v>400000</v>
      </c>
      <c r="V29" s="59"/>
    </row>
    <row r="30" ht="15.75" customHeight="1">
      <c r="A30" s="72" t="s">
        <v>64</v>
      </c>
      <c r="B30" s="73">
        <v>550000.0</v>
      </c>
      <c r="C30" s="64">
        <v>0.0</v>
      </c>
      <c r="D30" s="64">
        <v>0.0</v>
      </c>
      <c r="E30" s="64">
        <v>0.0</v>
      </c>
      <c r="F30" s="64">
        <v>0.0</v>
      </c>
      <c r="G30" s="64">
        <v>0.0</v>
      </c>
      <c r="H30" s="64">
        <v>0.0</v>
      </c>
      <c r="I30" s="64">
        <v>0.0</v>
      </c>
      <c r="P30" s="6" t="s">
        <v>66</v>
      </c>
      <c r="Q30" s="53"/>
      <c r="R30" s="68" t="s">
        <v>67</v>
      </c>
      <c r="S30" s="69">
        <v>3.0</v>
      </c>
      <c r="T30" s="71">
        <f t="shared" ref="T30:T32" si="20">U30/S30</f>
        <v>5000</v>
      </c>
      <c r="U30" s="70">
        <v>15000.0</v>
      </c>
      <c r="V30" s="59"/>
    </row>
    <row r="31" ht="15.75" customHeight="1">
      <c r="A31" s="72" t="s">
        <v>65</v>
      </c>
      <c r="B31" s="73">
        <v>0.0</v>
      </c>
      <c r="C31" s="64">
        <v>0.0</v>
      </c>
      <c r="D31" s="64">
        <v>0.0</v>
      </c>
      <c r="E31" s="64">
        <v>0.0</v>
      </c>
      <c r="F31" s="64">
        <v>0.0</v>
      </c>
      <c r="G31" s="64">
        <v>0.0</v>
      </c>
      <c r="H31" s="64">
        <v>0.0</v>
      </c>
      <c r="I31" s="64">
        <v>0.0</v>
      </c>
      <c r="Q31" s="53"/>
      <c r="R31" s="68" t="s">
        <v>68</v>
      </c>
      <c r="S31" s="69">
        <v>1.0</v>
      </c>
      <c r="T31" s="71">
        <f t="shared" si="20"/>
        <v>5000</v>
      </c>
      <c r="U31" s="70">
        <v>5000.0</v>
      </c>
      <c r="V31" s="59"/>
    </row>
    <row r="32" ht="15.75" customHeight="1">
      <c r="A32" s="72" t="s">
        <v>67</v>
      </c>
      <c r="B32" s="73">
        <v>15000.0</v>
      </c>
      <c r="C32" s="64">
        <v>0.0</v>
      </c>
      <c r="D32" s="64">
        <v>0.0</v>
      </c>
      <c r="E32" s="64">
        <v>0.0</v>
      </c>
      <c r="F32" s="64">
        <v>0.0</v>
      </c>
      <c r="G32" s="64">
        <v>0.0</v>
      </c>
      <c r="H32" s="64">
        <v>0.0</v>
      </c>
      <c r="I32" s="64">
        <v>0.0</v>
      </c>
      <c r="Q32" s="53"/>
      <c r="R32" s="46" t="s">
        <v>69</v>
      </c>
      <c r="S32" s="74">
        <v>1.0</v>
      </c>
      <c r="T32" s="75">
        <f t="shared" si="20"/>
        <v>30000</v>
      </c>
      <c r="U32" s="76">
        <v>30000.0</v>
      </c>
      <c r="V32" s="59"/>
    </row>
    <row r="33" ht="15.75" customHeight="1">
      <c r="A33" s="72" t="s">
        <v>68</v>
      </c>
      <c r="B33" s="73">
        <v>5000.0</v>
      </c>
      <c r="C33" s="64">
        <v>0.0</v>
      </c>
      <c r="D33" s="64">
        <v>0.0</v>
      </c>
      <c r="E33" s="64">
        <v>0.0</v>
      </c>
      <c r="F33" s="64">
        <v>0.0</v>
      </c>
      <c r="G33" s="64">
        <v>0.0</v>
      </c>
      <c r="H33" s="64">
        <v>0.0</v>
      </c>
      <c r="I33" s="64">
        <v>0.0</v>
      </c>
      <c r="Q33" s="53"/>
      <c r="R33" s="46" t="s">
        <v>70</v>
      </c>
      <c r="S33" s="74">
        <v>1.0</v>
      </c>
      <c r="T33" s="76">
        <v>25000.0</v>
      </c>
      <c r="U33" s="76">
        <v>25000.0</v>
      </c>
      <c r="V33" s="59"/>
    </row>
    <row r="34" ht="15.75" customHeight="1">
      <c r="A34" s="65" t="s">
        <v>69</v>
      </c>
      <c r="B34" s="64">
        <v>30000.0</v>
      </c>
      <c r="C34" s="64">
        <v>0.0</v>
      </c>
      <c r="D34" s="64">
        <v>0.0</v>
      </c>
      <c r="E34" s="64">
        <v>0.0</v>
      </c>
      <c r="F34" s="64">
        <v>0.0</v>
      </c>
      <c r="G34" s="64">
        <v>0.0</v>
      </c>
      <c r="H34" s="64">
        <v>0.0</v>
      </c>
      <c r="I34" s="64">
        <v>0.0</v>
      </c>
      <c r="Q34" s="53"/>
      <c r="R34" s="46" t="s">
        <v>71</v>
      </c>
      <c r="S34" s="74">
        <v>1.0</v>
      </c>
      <c r="T34" s="75">
        <f t="shared" ref="T34:T36" si="21">U34/S34</f>
        <v>45000</v>
      </c>
      <c r="U34" s="76">
        <v>45000.0</v>
      </c>
      <c r="V34" s="59"/>
    </row>
    <row r="35" ht="15.75" customHeight="1">
      <c r="A35" s="65" t="s">
        <v>70</v>
      </c>
      <c r="B35" s="64">
        <v>25000.0</v>
      </c>
      <c r="C35" s="64">
        <v>0.0</v>
      </c>
      <c r="D35" s="64">
        <v>0.0</v>
      </c>
      <c r="E35" s="64">
        <v>0.0</v>
      </c>
      <c r="F35" s="64">
        <v>0.0</v>
      </c>
      <c r="G35" s="64">
        <v>0.0</v>
      </c>
      <c r="H35" s="64">
        <v>0.0</v>
      </c>
      <c r="I35" s="64">
        <v>0.0</v>
      </c>
      <c r="Q35" s="53"/>
      <c r="R35" s="44" t="s">
        <v>72</v>
      </c>
      <c r="S35" s="74">
        <v>4.0</v>
      </c>
      <c r="T35" s="75">
        <f t="shared" si="21"/>
        <v>8000</v>
      </c>
      <c r="U35" s="76">
        <v>32000.0</v>
      </c>
      <c r="V35" s="77"/>
    </row>
    <row r="36" ht="15.75" customHeight="1">
      <c r="A36" s="65" t="s">
        <v>71</v>
      </c>
      <c r="B36" s="64">
        <v>45000.0</v>
      </c>
      <c r="C36" s="64">
        <v>0.0</v>
      </c>
      <c r="D36" s="64">
        <v>0.0</v>
      </c>
      <c r="E36" s="64">
        <v>0.0</v>
      </c>
      <c r="F36" s="64">
        <v>0.0</v>
      </c>
      <c r="G36" s="64">
        <v>0.0</v>
      </c>
      <c r="H36" s="64">
        <v>0.0</v>
      </c>
      <c r="I36" s="64">
        <v>0.0</v>
      </c>
      <c r="Q36" s="53"/>
      <c r="R36" s="46" t="s">
        <v>73</v>
      </c>
      <c r="S36" s="74">
        <v>4.0</v>
      </c>
      <c r="T36" s="75">
        <f t="shared" si="21"/>
        <v>5000</v>
      </c>
      <c r="U36" s="76">
        <v>20000.0</v>
      </c>
      <c r="V36" s="77"/>
    </row>
    <row r="37" ht="15.75" customHeight="1">
      <c r="A37" s="78" t="s">
        <v>72</v>
      </c>
      <c r="B37" s="64">
        <v>32000.0</v>
      </c>
      <c r="C37" s="64">
        <v>0.0</v>
      </c>
      <c r="D37" s="64">
        <v>0.0</v>
      </c>
      <c r="E37" s="64">
        <v>0.0</v>
      </c>
      <c r="F37" s="64">
        <v>0.0</v>
      </c>
      <c r="G37" s="64">
        <v>0.0</v>
      </c>
      <c r="H37" s="64">
        <v>0.0</v>
      </c>
      <c r="I37" s="64">
        <v>0.0</v>
      </c>
      <c r="Q37" s="53"/>
      <c r="R37" s="46" t="s">
        <v>74</v>
      </c>
      <c r="S37" s="74">
        <v>4.0</v>
      </c>
      <c r="T37" s="76">
        <v>7300.0</v>
      </c>
      <c r="U37" s="75">
        <f>T37*S37</f>
        <v>29200</v>
      </c>
      <c r="V37" s="77"/>
    </row>
    <row r="38" ht="15.75" customHeight="1">
      <c r="A38" s="65" t="s">
        <v>73</v>
      </c>
      <c r="B38" s="64">
        <v>20000.0</v>
      </c>
      <c r="C38" s="64">
        <v>0.0</v>
      </c>
      <c r="D38" s="64">
        <v>0.0</v>
      </c>
      <c r="E38" s="64">
        <v>0.0</v>
      </c>
      <c r="F38" s="64">
        <v>0.0</v>
      </c>
      <c r="G38" s="64">
        <v>0.0</v>
      </c>
      <c r="H38" s="64">
        <v>0.0</v>
      </c>
      <c r="I38" s="64">
        <v>0.0</v>
      </c>
      <c r="Q38" s="53"/>
      <c r="R38" s="46" t="s">
        <v>75</v>
      </c>
      <c r="S38" s="74">
        <v>12.0</v>
      </c>
      <c r="T38" s="75">
        <f t="shared" ref="T38:T39" si="22">U38/S38</f>
        <v>1000</v>
      </c>
      <c r="U38" s="76">
        <v>12000.0</v>
      </c>
      <c r="V38" s="77"/>
    </row>
    <row r="39" ht="15.75" customHeight="1">
      <c r="A39" s="65" t="s">
        <v>74</v>
      </c>
      <c r="B39" s="64">
        <v>29200.0</v>
      </c>
      <c r="C39" s="64">
        <v>0.0</v>
      </c>
      <c r="D39" s="64">
        <v>0.0</v>
      </c>
      <c r="E39" s="64">
        <v>0.0</v>
      </c>
      <c r="F39" s="64">
        <v>0.0</v>
      </c>
      <c r="G39" s="64">
        <v>0.0</v>
      </c>
      <c r="H39" s="64">
        <v>0.0</v>
      </c>
      <c r="I39" s="64">
        <v>0.0</v>
      </c>
      <c r="Q39" s="53"/>
      <c r="R39" s="46" t="s">
        <v>76</v>
      </c>
      <c r="S39" s="74">
        <v>12.0</v>
      </c>
      <c r="T39" s="75">
        <f t="shared" si="22"/>
        <v>1000</v>
      </c>
      <c r="U39" s="76">
        <v>12000.0</v>
      </c>
      <c r="V39" s="77"/>
    </row>
    <row r="40" ht="15.75" customHeight="1">
      <c r="A40" s="65" t="s">
        <v>75</v>
      </c>
      <c r="B40" s="64">
        <v>12000.0</v>
      </c>
      <c r="C40" s="64">
        <v>0.0</v>
      </c>
      <c r="D40" s="64">
        <v>0.0</v>
      </c>
      <c r="E40" s="64">
        <v>0.0</v>
      </c>
      <c r="F40" s="64">
        <v>0.0</v>
      </c>
      <c r="G40" s="64">
        <v>0.0</v>
      </c>
      <c r="H40" s="64">
        <v>0.0</v>
      </c>
      <c r="I40" s="64">
        <v>0.0</v>
      </c>
      <c r="Q40" s="53"/>
      <c r="R40" s="46" t="s">
        <v>77</v>
      </c>
      <c r="S40" s="74">
        <v>1000.0</v>
      </c>
      <c r="T40" s="76">
        <v>380.0</v>
      </c>
      <c r="U40" s="76">
        <f t="shared" ref="U40:U41" si="23">T40*S40</f>
        <v>380000</v>
      </c>
      <c r="V40" s="77"/>
    </row>
    <row r="41" ht="15.75" customHeight="1">
      <c r="A41" s="65" t="s">
        <v>76</v>
      </c>
      <c r="B41" s="64">
        <v>12000.0</v>
      </c>
      <c r="C41" s="64">
        <v>0.0</v>
      </c>
      <c r="D41" s="64">
        <v>0.0</v>
      </c>
      <c r="E41" s="64">
        <v>0.0</v>
      </c>
      <c r="F41" s="64">
        <v>0.0</v>
      </c>
      <c r="G41" s="64">
        <v>0.0</v>
      </c>
      <c r="H41" s="64">
        <v>0.0</v>
      </c>
      <c r="I41" s="64">
        <v>0.0</v>
      </c>
      <c r="Q41" s="53"/>
      <c r="R41" s="68" t="s">
        <v>78</v>
      </c>
      <c r="S41" s="69">
        <v>4.0</v>
      </c>
      <c r="T41" s="70">
        <v>80000.0</v>
      </c>
      <c r="U41" s="71">
        <f t="shared" si="23"/>
        <v>320000</v>
      </c>
      <c r="V41" s="77"/>
    </row>
    <row r="42" ht="15.75" customHeight="1">
      <c r="A42" s="72" t="s">
        <v>78</v>
      </c>
      <c r="B42" s="73">
        <v>320000.0</v>
      </c>
      <c r="C42" s="64">
        <v>0.0</v>
      </c>
      <c r="D42" s="64">
        <v>0.0</v>
      </c>
      <c r="E42" s="64">
        <v>0.0</v>
      </c>
      <c r="F42" s="64">
        <v>0.0</v>
      </c>
      <c r="G42" s="64">
        <v>0.0</v>
      </c>
      <c r="H42" s="64">
        <v>0.0</v>
      </c>
      <c r="I42" s="64">
        <v>0.0</v>
      </c>
      <c r="Q42" s="53"/>
      <c r="R42" s="46" t="s">
        <v>79</v>
      </c>
      <c r="S42" s="45">
        <v>1.0</v>
      </c>
      <c r="T42" s="46">
        <f t="shared" ref="T42:T43" si="24">U42/S42</f>
        <v>35000</v>
      </c>
      <c r="U42" s="46">
        <v>35000.0</v>
      </c>
      <c r="V42" s="77"/>
    </row>
    <row r="43" ht="15.75" customHeight="1">
      <c r="A43" s="65" t="s">
        <v>79</v>
      </c>
      <c r="B43" s="46">
        <v>35000.0</v>
      </c>
      <c r="C43" s="64">
        <v>0.0</v>
      </c>
      <c r="D43" s="64">
        <v>0.0</v>
      </c>
      <c r="E43" s="64">
        <v>0.0</v>
      </c>
      <c r="F43" s="64">
        <v>0.0</v>
      </c>
      <c r="G43" s="64">
        <v>0.0</v>
      </c>
      <c r="H43" s="64">
        <v>0.0</v>
      </c>
      <c r="I43" s="64">
        <v>0.0</v>
      </c>
      <c r="Q43" s="53"/>
      <c r="R43" s="46" t="s">
        <v>80</v>
      </c>
      <c r="S43" s="79">
        <v>1.0</v>
      </c>
      <c r="T43" s="75">
        <f t="shared" si="24"/>
        <v>40000</v>
      </c>
      <c r="U43" s="62">
        <v>40000.0</v>
      </c>
      <c r="V43" s="77"/>
    </row>
    <row r="44" ht="15.75" customHeight="1">
      <c r="A44" s="65" t="s">
        <v>80</v>
      </c>
      <c r="B44" s="62">
        <v>40000.0</v>
      </c>
      <c r="C44" s="64">
        <v>0.0</v>
      </c>
      <c r="D44" s="64">
        <v>0.0</v>
      </c>
      <c r="E44" s="64">
        <v>0.0</v>
      </c>
      <c r="F44" s="64">
        <v>0.0</v>
      </c>
      <c r="G44" s="64">
        <v>0.0</v>
      </c>
      <c r="H44" s="64">
        <v>0.0</v>
      </c>
      <c r="I44" s="64">
        <v>0.0</v>
      </c>
      <c r="Q44" s="53"/>
      <c r="R44" s="46" t="s">
        <v>81</v>
      </c>
      <c r="S44" s="80">
        <v>5.0</v>
      </c>
      <c r="T44" s="76">
        <v>0.0</v>
      </c>
      <c r="U44" s="76">
        <v>0.0</v>
      </c>
      <c r="V44" s="77"/>
    </row>
    <row r="45" ht="15.75" customHeight="1">
      <c r="A45" s="65" t="s">
        <v>81</v>
      </c>
      <c r="B45" s="64">
        <v>0.0</v>
      </c>
      <c r="C45" s="64">
        <v>0.0</v>
      </c>
      <c r="D45" s="64">
        <v>0.0</v>
      </c>
      <c r="E45" s="64">
        <v>0.0</v>
      </c>
      <c r="F45" s="64">
        <v>0.0</v>
      </c>
      <c r="G45" s="64">
        <v>0.0</v>
      </c>
      <c r="H45" s="64">
        <v>0.0</v>
      </c>
      <c r="I45" s="64">
        <v>0.0</v>
      </c>
      <c r="Q45" s="81"/>
      <c r="R45" s="82" t="s">
        <v>82</v>
      </c>
      <c r="S45" s="83">
        <v>12.0</v>
      </c>
      <c r="T45" s="75">
        <f>U45/S45</f>
        <v>4666.666667</v>
      </c>
      <c r="U45" s="76">
        <v>56000.0</v>
      </c>
      <c r="V45" s="77"/>
    </row>
    <row r="46" ht="15.75" customHeight="1">
      <c r="A46" s="84" t="s">
        <v>82</v>
      </c>
      <c r="B46" s="64">
        <v>56000.0</v>
      </c>
      <c r="C46" s="64">
        <v>0.0</v>
      </c>
      <c r="D46" s="64">
        <v>0.0</v>
      </c>
      <c r="E46" s="64">
        <v>0.0</v>
      </c>
      <c r="F46" s="64">
        <v>0.0</v>
      </c>
      <c r="G46" s="64">
        <v>0.0</v>
      </c>
      <c r="H46" s="64">
        <v>0.0</v>
      </c>
      <c r="I46" s="64">
        <v>0.0</v>
      </c>
      <c r="Q46" s="85" t="s">
        <v>83</v>
      </c>
      <c r="R46" s="36"/>
      <c r="S46" s="86"/>
      <c r="T46" s="87"/>
      <c r="U46" s="87">
        <f>sum(U12:U45)</f>
        <v>3910200</v>
      </c>
      <c r="V46" s="77"/>
    </row>
    <row r="47" ht="15.75" customHeight="1">
      <c r="A47" s="84" t="s">
        <v>84</v>
      </c>
      <c r="B47" s="64">
        <v>1.32E7</v>
      </c>
      <c r="C47" s="64">
        <v>0.0</v>
      </c>
      <c r="D47" s="62"/>
      <c r="E47" s="62"/>
      <c r="F47" s="62"/>
      <c r="G47" s="62"/>
      <c r="H47" s="62"/>
      <c r="I47" s="62"/>
      <c r="Q47" s="88">
        <v>2.0</v>
      </c>
      <c r="R47" s="88" t="s">
        <v>85</v>
      </c>
      <c r="S47" s="89"/>
      <c r="T47" s="90"/>
      <c r="U47" s="90"/>
      <c r="V47" s="77"/>
    </row>
    <row r="48" ht="15.75" customHeight="1">
      <c r="A48" s="91" t="s">
        <v>86</v>
      </c>
      <c r="B48" s="64">
        <v>100000.0</v>
      </c>
      <c r="C48" s="64">
        <v>100000.0</v>
      </c>
      <c r="D48" s="64">
        <v>100000.0</v>
      </c>
      <c r="E48" s="64">
        <v>100000.0</v>
      </c>
      <c r="F48" s="64">
        <v>100000.0</v>
      </c>
      <c r="G48" s="64">
        <v>100000.0</v>
      </c>
      <c r="H48" s="64">
        <v>100000.0</v>
      </c>
      <c r="I48" s="64">
        <v>100000.0</v>
      </c>
      <c r="Q48" s="86" t="s">
        <v>83</v>
      </c>
      <c r="R48" s="86"/>
      <c r="S48" s="86"/>
      <c r="T48" s="87"/>
      <c r="U48" s="92">
        <v>0.0</v>
      </c>
      <c r="V48" s="77"/>
    </row>
    <row r="49" ht="15.75" customHeight="1">
      <c r="A49" s="91" t="s">
        <v>87</v>
      </c>
      <c r="B49" s="64">
        <v>100000.0</v>
      </c>
      <c r="C49" s="64">
        <v>100000.0</v>
      </c>
      <c r="D49" s="64">
        <v>100000.0</v>
      </c>
      <c r="E49" s="64">
        <v>100000.0</v>
      </c>
      <c r="F49" s="64">
        <v>100000.0</v>
      </c>
      <c r="G49" s="64">
        <v>100000.0</v>
      </c>
      <c r="H49" s="64">
        <v>100000.0</v>
      </c>
      <c r="I49" s="64">
        <v>100000.0</v>
      </c>
      <c r="Q49" s="88">
        <v>3.0</v>
      </c>
      <c r="R49" s="88" t="s">
        <v>88</v>
      </c>
      <c r="S49" s="89"/>
      <c r="T49" s="90"/>
      <c r="U49" s="90"/>
      <c r="V49" s="77"/>
    </row>
    <row r="50" ht="15.75" customHeight="1">
      <c r="A50" s="93" t="s">
        <v>89</v>
      </c>
      <c r="B50" s="94">
        <v>600000.0</v>
      </c>
      <c r="C50" s="94">
        <v>600000.0</v>
      </c>
      <c r="D50" s="94">
        <v>600000.0</v>
      </c>
      <c r="E50" s="94">
        <v>600000.0</v>
      </c>
      <c r="F50" s="94">
        <v>600000.0</v>
      </c>
      <c r="G50" s="94">
        <v>600000.0</v>
      </c>
      <c r="H50" s="94">
        <v>600000.0</v>
      </c>
      <c r="I50" s="94">
        <v>600000.0</v>
      </c>
      <c r="Q50" s="95"/>
      <c r="R50" s="96" t="s">
        <v>86</v>
      </c>
      <c r="S50" s="97">
        <v>10.0</v>
      </c>
      <c r="T50" s="98">
        <v>50000.0</v>
      </c>
      <c r="U50" s="98">
        <f t="shared" ref="U50:U51" si="25">S50*T50</f>
        <v>500000</v>
      </c>
      <c r="V50" s="77"/>
    </row>
    <row r="51" ht="15.75" customHeight="1">
      <c r="A51" s="6" t="s">
        <v>90</v>
      </c>
      <c r="B51" s="99">
        <v>900000.0</v>
      </c>
      <c r="C51" s="99">
        <v>900000.0</v>
      </c>
      <c r="D51" s="99">
        <v>900000.0</v>
      </c>
      <c r="E51" s="99">
        <v>900000.0</v>
      </c>
      <c r="F51" s="99">
        <v>900000.0</v>
      </c>
      <c r="G51" s="99">
        <v>900000.0</v>
      </c>
      <c r="H51" s="99">
        <v>900000.0</v>
      </c>
      <c r="I51" s="99">
        <v>900000.0</v>
      </c>
      <c r="Q51" s="41"/>
      <c r="R51" s="96" t="s">
        <v>87</v>
      </c>
      <c r="S51" s="97">
        <v>10.0</v>
      </c>
      <c r="T51" s="100">
        <v>50000.0</v>
      </c>
      <c r="U51" s="98">
        <f t="shared" si="25"/>
        <v>500000</v>
      </c>
      <c r="V51" s="77"/>
    </row>
    <row r="52" ht="15.75" customHeight="1">
      <c r="A52" s="101" t="s">
        <v>91</v>
      </c>
      <c r="B52" s="102">
        <f t="shared" ref="B52:I52" si="26">sum(B22:B51)</f>
        <v>22256400</v>
      </c>
      <c r="C52" s="102">
        <f t="shared" si="26"/>
        <v>8282240</v>
      </c>
      <c r="D52" s="102">
        <f t="shared" si="26"/>
        <v>8940464</v>
      </c>
      <c r="E52" s="102">
        <f t="shared" si="26"/>
        <v>9664510.4</v>
      </c>
      <c r="F52" s="102">
        <f t="shared" si="26"/>
        <v>11257412.48</v>
      </c>
      <c r="G52" s="102">
        <f t="shared" si="26"/>
        <v>14124636.22</v>
      </c>
      <c r="H52" s="102">
        <f t="shared" si="26"/>
        <v>19094490.71</v>
      </c>
      <c r="I52" s="102">
        <f t="shared" si="26"/>
        <v>28661460.61</v>
      </c>
      <c r="Q52" s="86" t="s">
        <v>83</v>
      </c>
      <c r="R52" s="86"/>
      <c r="S52" s="86"/>
      <c r="T52" s="87"/>
      <c r="U52" s="87">
        <f>SUM(U50:U51)</f>
        <v>1000000</v>
      </c>
      <c r="V52" s="77"/>
    </row>
    <row r="53" ht="15.75" customHeight="1">
      <c r="A53" s="103" t="s">
        <v>92</v>
      </c>
      <c r="B53" s="104">
        <f t="shared" ref="B53:I53" si="27">B20-B52</f>
        <v>-14296800</v>
      </c>
      <c r="C53" s="104">
        <f t="shared" si="27"/>
        <v>-13027520</v>
      </c>
      <c r="D53" s="104">
        <f t="shared" si="27"/>
        <v>-2223920</v>
      </c>
      <c r="E53" s="104">
        <f t="shared" si="27"/>
        <v>10806222.4</v>
      </c>
      <c r="F53" s="104">
        <f t="shared" si="27"/>
        <v>25718346.88</v>
      </c>
      <c r="G53" s="104">
        <f t="shared" si="27"/>
        <v>42657155.01</v>
      </c>
      <c r="H53" s="104">
        <f t="shared" si="27"/>
        <v>61454538.76</v>
      </c>
      <c r="I53" s="104">
        <f t="shared" si="27"/>
        <v>80408254.77</v>
      </c>
      <c r="Q53" s="88">
        <v>4.0</v>
      </c>
      <c r="R53" s="88" t="s">
        <v>93</v>
      </c>
      <c r="S53" s="89"/>
      <c r="T53" s="90"/>
      <c r="U53" s="90"/>
      <c r="V53" s="77"/>
    </row>
    <row r="54" ht="15.75" customHeight="1">
      <c r="A54" s="28"/>
      <c r="Q54" s="95"/>
      <c r="R54" s="105" t="s">
        <v>84</v>
      </c>
      <c r="S54" s="106">
        <v>1.0</v>
      </c>
      <c r="T54" s="100">
        <v>1.32E7</v>
      </c>
      <c r="U54" s="98">
        <f>T54*S54</f>
        <v>13200000</v>
      </c>
      <c r="V54" s="77"/>
    </row>
    <row r="55" ht="15.75" customHeight="1">
      <c r="A55" s="28"/>
      <c r="Q55" s="107"/>
      <c r="R55" s="96" t="s">
        <v>94</v>
      </c>
      <c r="S55" s="97">
        <v>4.0</v>
      </c>
      <c r="T55" s="98">
        <v>100000.0</v>
      </c>
      <c r="U55" s="98"/>
      <c r="V55" s="77"/>
    </row>
    <row r="56" ht="15.75" customHeight="1">
      <c r="A56" s="28"/>
      <c r="Q56" s="107"/>
      <c r="R56" s="96" t="s">
        <v>95</v>
      </c>
      <c r="S56" s="97"/>
      <c r="T56" s="98"/>
      <c r="U56" s="98">
        <f t="shared" ref="U56:U57" si="28">S56*T56</f>
        <v>0</v>
      </c>
      <c r="V56" s="77"/>
    </row>
    <row r="57" ht="15.75" customHeight="1">
      <c r="A57" s="28"/>
      <c r="Q57" s="41"/>
      <c r="R57" s="96" t="s">
        <v>96</v>
      </c>
      <c r="S57" s="97"/>
      <c r="T57" s="98"/>
      <c r="U57" s="98">
        <f t="shared" si="28"/>
        <v>0</v>
      </c>
      <c r="V57" s="77"/>
    </row>
    <row r="58" ht="15.75" customHeight="1">
      <c r="A58" s="28"/>
      <c r="Q58" s="108" t="s">
        <v>83</v>
      </c>
      <c r="R58" s="108"/>
      <c r="S58" s="86"/>
      <c r="T58" s="87"/>
      <c r="U58" s="87">
        <f>SUM(U54:U57)</f>
        <v>13200000</v>
      </c>
      <c r="V58" s="77"/>
    </row>
    <row r="59" ht="15.75" customHeight="1">
      <c r="A59" s="28"/>
      <c r="Q59" s="109" t="s">
        <v>97</v>
      </c>
      <c r="R59" s="110"/>
      <c r="S59" s="111"/>
      <c r="T59" s="112"/>
      <c r="U59" s="112">
        <f>sum(U58,U52,U46)</f>
        <v>18110200</v>
      </c>
      <c r="V59" s="77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  <c r="E71" s="113" t="s">
        <v>98</v>
      </c>
    </row>
    <row r="72" ht="15.75" customHeight="1">
      <c r="A72" s="114" t="s">
        <v>31</v>
      </c>
      <c r="B72" s="5" t="s">
        <v>99</v>
      </c>
      <c r="C72" s="5"/>
      <c r="E72" s="115" t="s">
        <v>23</v>
      </c>
      <c r="F72" s="36"/>
    </row>
    <row r="73" ht="15.75" customHeight="1">
      <c r="A73" s="116" t="s">
        <v>100</v>
      </c>
      <c r="B73" s="117"/>
      <c r="C73" s="117">
        <f>B105*60%</f>
        <v>5009820</v>
      </c>
      <c r="E73" s="118" t="s">
        <v>101</v>
      </c>
      <c r="F73" s="119">
        <v>2750.0</v>
      </c>
      <c r="G73" s="6" t="s">
        <v>102</v>
      </c>
    </row>
    <row r="74" ht="15.75" customHeight="1">
      <c r="A74" s="91" t="s">
        <v>103</v>
      </c>
      <c r="B74" s="98">
        <v>213300.0</v>
      </c>
      <c r="C74" s="5"/>
      <c r="E74" s="118" t="s">
        <v>52</v>
      </c>
      <c r="F74" s="119">
        <v>175.0</v>
      </c>
      <c r="G74" s="6" t="s">
        <v>104</v>
      </c>
    </row>
    <row r="75" ht="15.75" customHeight="1">
      <c r="A75" s="91" t="s">
        <v>105</v>
      </c>
      <c r="B75" s="98">
        <v>972000.0</v>
      </c>
      <c r="C75" s="5"/>
      <c r="E75" s="6" t="s">
        <v>51</v>
      </c>
      <c r="F75" s="99">
        <v>400.0</v>
      </c>
      <c r="G75" s="6" t="s">
        <v>106</v>
      </c>
      <c r="H75" s="67">
        <f>175*6</f>
        <v>1050</v>
      </c>
    </row>
    <row r="76" ht="15.75" customHeight="1">
      <c r="A76" s="91" t="s">
        <v>107</v>
      </c>
      <c r="B76" s="98">
        <v>500000.0</v>
      </c>
      <c r="C76" s="5"/>
      <c r="E76" s="6" t="s">
        <v>108</v>
      </c>
      <c r="F76" s="99">
        <v>620.0</v>
      </c>
    </row>
    <row r="77" ht="15.75" customHeight="1">
      <c r="A77" s="91" t="s">
        <v>109</v>
      </c>
      <c r="B77" s="98">
        <v>135000.0</v>
      </c>
      <c r="C77" s="5"/>
      <c r="E77" s="120" t="s">
        <v>110</v>
      </c>
      <c r="F77" s="121">
        <f>sum(F73:F76)</f>
        <v>3945</v>
      </c>
    </row>
    <row r="78" ht="15.75" customHeight="1">
      <c r="A78" s="91" t="s">
        <v>111</v>
      </c>
      <c r="B78" s="98">
        <v>264000.0</v>
      </c>
      <c r="C78" s="5"/>
      <c r="E78" s="115" t="s">
        <v>9</v>
      </c>
      <c r="F78" s="36"/>
    </row>
    <row r="79" ht="15.75" customHeight="1">
      <c r="A79" s="91" t="s">
        <v>112</v>
      </c>
      <c r="B79" s="98">
        <v>231000.0</v>
      </c>
      <c r="C79" s="5"/>
      <c r="E79" s="118" t="s">
        <v>113</v>
      </c>
      <c r="F79" s="119">
        <v>2750.0</v>
      </c>
      <c r="G79" s="6" t="s">
        <v>44</v>
      </c>
    </row>
    <row r="80" ht="15.75" customHeight="1">
      <c r="A80" s="91" t="s">
        <v>114</v>
      </c>
      <c r="B80" s="98">
        <v>200000.0</v>
      </c>
      <c r="C80" s="5"/>
      <c r="E80" s="118" t="s">
        <v>52</v>
      </c>
      <c r="F80" s="119">
        <v>120.0</v>
      </c>
      <c r="G80" s="6" t="s">
        <v>115</v>
      </c>
    </row>
    <row r="81" ht="15.75" customHeight="1">
      <c r="A81" s="91" t="s">
        <v>116</v>
      </c>
      <c r="B81" s="98">
        <v>200000.0</v>
      </c>
      <c r="C81" s="5"/>
      <c r="E81" s="118" t="s">
        <v>50</v>
      </c>
      <c r="F81" s="119">
        <v>750.0</v>
      </c>
      <c r="G81" s="6" t="s">
        <v>117</v>
      </c>
    </row>
    <row r="82" ht="15.75" customHeight="1">
      <c r="A82" s="91" t="s">
        <v>118</v>
      </c>
      <c r="B82" s="98">
        <v>37400.0</v>
      </c>
      <c r="C82" s="5"/>
      <c r="E82" s="6" t="s">
        <v>51</v>
      </c>
      <c r="F82" s="122">
        <f>T17*15</f>
        <v>300</v>
      </c>
      <c r="G82" s="6" t="s">
        <v>106</v>
      </c>
    </row>
    <row r="83" ht="15.75" customHeight="1">
      <c r="A83" s="91" t="s">
        <v>119</v>
      </c>
      <c r="B83" s="98">
        <v>317500.0</v>
      </c>
      <c r="C83" s="5"/>
      <c r="E83" s="6" t="s">
        <v>108</v>
      </c>
      <c r="F83" s="99">
        <v>620.0</v>
      </c>
      <c r="I83" s="6">
        <f>250*11</f>
        <v>2750</v>
      </c>
    </row>
    <row r="84" ht="15.75" customHeight="1">
      <c r="A84" s="91" t="s">
        <v>120</v>
      </c>
      <c r="B84" s="98">
        <v>600000.0</v>
      </c>
      <c r="C84" s="5"/>
      <c r="E84" s="120" t="s">
        <v>110</v>
      </c>
      <c r="F84" s="121">
        <f>SUM(F79:F83)</f>
        <v>4540</v>
      </c>
    </row>
    <row r="85" ht="15.75" customHeight="1">
      <c r="A85" s="91" t="s">
        <v>121</v>
      </c>
      <c r="B85" s="98">
        <v>225000.0</v>
      </c>
      <c r="C85" s="5"/>
      <c r="E85" s="115" t="s">
        <v>10</v>
      </c>
      <c r="F85" s="36"/>
    </row>
    <row r="86" ht="15.75" customHeight="1">
      <c r="A86" s="91" t="s">
        <v>122</v>
      </c>
      <c r="B86" s="123">
        <v>800000.0</v>
      </c>
      <c r="C86" s="5"/>
      <c r="E86" s="118" t="s">
        <v>113</v>
      </c>
      <c r="F86" s="119">
        <v>2750.0</v>
      </c>
      <c r="G86" s="6" t="s">
        <v>44</v>
      </c>
    </row>
    <row r="87" ht="15.75" customHeight="1">
      <c r="A87" s="114" t="s">
        <v>25</v>
      </c>
      <c r="B87" s="59">
        <f>SUM(B74:B86)</f>
        <v>4695200</v>
      </c>
      <c r="C87" s="5"/>
      <c r="E87" s="118" t="s">
        <v>52</v>
      </c>
      <c r="F87" s="119">
        <v>120.0</v>
      </c>
      <c r="G87" s="6" t="s">
        <v>115</v>
      </c>
    </row>
    <row r="88" ht="15.75" customHeight="1">
      <c r="A88" s="116" t="s">
        <v>123</v>
      </c>
      <c r="B88" s="117"/>
      <c r="C88" s="117">
        <f>B105*15%</f>
        <v>1252455</v>
      </c>
      <c r="E88" s="118" t="s">
        <v>124</v>
      </c>
      <c r="F88" s="119">
        <v>1000.0</v>
      </c>
      <c r="G88" s="6" t="s">
        <v>125</v>
      </c>
    </row>
    <row r="89" ht="15.75" customHeight="1">
      <c r="A89" s="91" t="s">
        <v>126</v>
      </c>
      <c r="B89" s="98">
        <v>204500.0</v>
      </c>
      <c r="C89" s="5"/>
      <c r="E89" s="6" t="s">
        <v>51</v>
      </c>
      <c r="F89" s="124">
        <v>300.0</v>
      </c>
      <c r="G89" s="6" t="s">
        <v>106</v>
      </c>
    </row>
    <row r="90" ht="15.75" customHeight="1">
      <c r="A90" s="91" t="s">
        <v>127</v>
      </c>
      <c r="B90" s="98">
        <v>400000.0</v>
      </c>
      <c r="C90" s="5"/>
      <c r="E90" s="6" t="s">
        <v>108</v>
      </c>
      <c r="F90" s="99">
        <v>620.0</v>
      </c>
    </row>
    <row r="91" ht="15.75" customHeight="1">
      <c r="A91" s="91" t="s">
        <v>128</v>
      </c>
      <c r="B91" s="123">
        <v>350000.0</v>
      </c>
      <c r="C91" s="5"/>
      <c r="E91" s="120" t="s">
        <v>25</v>
      </c>
      <c r="F91" s="121">
        <f>SUM(F86:F90)</f>
        <v>4790</v>
      </c>
    </row>
    <row r="92" ht="15.75" customHeight="1">
      <c r="A92" s="91" t="s">
        <v>129</v>
      </c>
      <c r="B92" s="123">
        <v>100000.0</v>
      </c>
      <c r="C92" s="5"/>
      <c r="E92" s="115" t="s">
        <v>11</v>
      </c>
      <c r="F92" s="36"/>
    </row>
    <row r="93" ht="15.75" customHeight="1">
      <c r="A93" s="91" t="s">
        <v>130</v>
      </c>
      <c r="B93" s="123">
        <v>100000.0</v>
      </c>
      <c r="C93" s="5"/>
      <c r="E93" s="118" t="s">
        <v>113</v>
      </c>
      <c r="F93" s="119">
        <v>2750.0</v>
      </c>
      <c r="G93" s="6" t="s">
        <v>44</v>
      </c>
    </row>
    <row r="94" ht="15.75" customHeight="1">
      <c r="A94" s="114" t="s">
        <v>110</v>
      </c>
      <c r="B94" s="59">
        <f>SUM(B89:B93)</f>
        <v>1154500</v>
      </c>
      <c r="C94" s="5"/>
      <c r="E94" s="118" t="s">
        <v>52</v>
      </c>
      <c r="F94" s="119">
        <v>120.0</v>
      </c>
      <c r="G94" s="6" t="s">
        <v>115</v>
      </c>
    </row>
    <row r="95" ht="15.75" customHeight="1">
      <c r="A95" s="116" t="s">
        <v>131</v>
      </c>
      <c r="B95" s="117"/>
      <c r="C95" s="117">
        <f>B105*30%</f>
        <v>2504910</v>
      </c>
      <c r="E95" s="118" t="s">
        <v>132</v>
      </c>
      <c r="F95" s="119">
        <v>1000.0</v>
      </c>
      <c r="G95" s="6" t="s">
        <v>125</v>
      </c>
    </row>
    <row r="96" ht="15.75" customHeight="1">
      <c r="A96" s="114" t="s">
        <v>133</v>
      </c>
      <c r="B96" s="59">
        <v>750000.0</v>
      </c>
      <c r="C96" s="5"/>
      <c r="E96" s="6" t="s">
        <v>51</v>
      </c>
      <c r="F96" s="124">
        <v>300.0</v>
      </c>
      <c r="G96" s="6" t="s">
        <v>106</v>
      </c>
    </row>
    <row r="97" ht="15.75" customHeight="1">
      <c r="A97" s="114" t="s">
        <v>134</v>
      </c>
      <c r="B97" s="59">
        <v>500000.0</v>
      </c>
      <c r="C97" s="5"/>
      <c r="E97" s="6" t="s">
        <v>108</v>
      </c>
      <c r="F97" s="99">
        <v>620.0</v>
      </c>
    </row>
    <row r="98" ht="15.75" customHeight="1">
      <c r="A98" s="114" t="s">
        <v>110</v>
      </c>
      <c r="B98" s="59">
        <f>SUM(B96:B97)</f>
        <v>1250000</v>
      </c>
      <c r="C98" s="5"/>
      <c r="E98" s="120" t="s">
        <v>110</v>
      </c>
      <c r="F98" s="121">
        <f>SUM(F93:F97)</f>
        <v>4790</v>
      </c>
    </row>
    <row r="99" ht="15.75" customHeight="1">
      <c r="A99" s="116" t="s">
        <v>135</v>
      </c>
      <c r="B99" s="117"/>
      <c r="C99" s="117">
        <f>B105*15%</f>
        <v>1252455</v>
      </c>
      <c r="E99" s="115" t="s">
        <v>21</v>
      </c>
      <c r="F99" s="36"/>
    </row>
    <row r="100" ht="15.75" customHeight="1">
      <c r="A100" s="91" t="s">
        <v>136</v>
      </c>
      <c r="B100" s="98">
        <v>300000.0</v>
      </c>
      <c r="C100" s="5"/>
      <c r="E100" s="118" t="s">
        <v>101</v>
      </c>
      <c r="F100" s="119">
        <v>2750.0</v>
      </c>
      <c r="G100" s="6" t="s">
        <v>44</v>
      </c>
    </row>
    <row r="101" ht="15.75" customHeight="1">
      <c r="A101" s="91" t="s">
        <v>94</v>
      </c>
      <c r="B101" s="98">
        <v>400000.0</v>
      </c>
      <c r="C101" s="5"/>
      <c r="E101" s="118" t="s">
        <v>52</v>
      </c>
      <c r="F101" s="119">
        <v>120.0</v>
      </c>
      <c r="G101" s="6" t="s">
        <v>115</v>
      </c>
    </row>
    <row r="102" ht="15.75" customHeight="1">
      <c r="A102" s="91" t="s">
        <v>95</v>
      </c>
      <c r="B102" s="98">
        <v>150000.0</v>
      </c>
      <c r="C102" s="5"/>
      <c r="E102" s="118" t="s">
        <v>137</v>
      </c>
      <c r="F102" s="119">
        <v>1000.0</v>
      </c>
      <c r="G102" s="6" t="s">
        <v>125</v>
      </c>
    </row>
    <row r="103" ht="15.75" customHeight="1">
      <c r="A103" s="91" t="s">
        <v>96</v>
      </c>
      <c r="B103" s="98">
        <v>400000.0</v>
      </c>
      <c r="C103" s="5"/>
      <c r="E103" s="6" t="s">
        <v>51</v>
      </c>
      <c r="F103" s="125">
        <v>300.0</v>
      </c>
      <c r="G103" s="6" t="s">
        <v>106</v>
      </c>
    </row>
    <row r="104" ht="15.75" customHeight="1">
      <c r="A104" s="114" t="s">
        <v>110</v>
      </c>
      <c r="B104" s="59">
        <f>SUM(B100:B103)</f>
        <v>1250000</v>
      </c>
      <c r="C104" s="5"/>
      <c r="E104" s="6" t="s">
        <v>108</v>
      </c>
      <c r="F104" s="99">
        <v>620.0</v>
      </c>
    </row>
    <row r="105" ht="15.75" customHeight="1">
      <c r="A105" s="126" t="s">
        <v>138</v>
      </c>
      <c r="B105" s="117">
        <f>SUM(B87+B94+B98+B104)</f>
        <v>8349700</v>
      </c>
      <c r="C105" s="127"/>
      <c r="E105" s="120" t="s">
        <v>110</v>
      </c>
      <c r="F105" s="121">
        <f>SUM(F100:F104)</f>
        <v>4790</v>
      </c>
    </row>
    <row r="106" ht="15.75" customHeight="1">
      <c r="A106" s="28"/>
      <c r="E106" s="5" t="s">
        <v>138</v>
      </c>
      <c r="F106" s="119">
        <f>SUM(F105,F98,F91,F84)</f>
        <v>18910</v>
      </c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>
      <c r="A221" s="28"/>
    </row>
    <row r="222" ht="15.75" customHeight="1">
      <c r="A222" s="28"/>
    </row>
    <row r="223" ht="15.75" customHeight="1">
      <c r="A223" s="28"/>
    </row>
    <row r="224" ht="15.75" customHeight="1">
      <c r="A224" s="28"/>
    </row>
    <row r="225" ht="15.75" customHeight="1">
      <c r="A225" s="28"/>
    </row>
    <row r="226" ht="15.75" customHeight="1">
      <c r="A226" s="28"/>
    </row>
    <row r="227" ht="15.75" customHeight="1">
      <c r="A227" s="28"/>
    </row>
    <row r="228" ht="15.75" customHeight="1">
      <c r="A228" s="28"/>
    </row>
    <row r="229" ht="15.75" customHeight="1">
      <c r="A229" s="28"/>
    </row>
    <row r="230" ht="15.75" customHeight="1">
      <c r="A230" s="28"/>
    </row>
    <row r="231" ht="15.75" customHeight="1">
      <c r="A231" s="28"/>
    </row>
    <row r="232" ht="15.75" customHeight="1">
      <c r="A232" s="28"/>
    </row>
    <row r="233" ht="15.75" customHeight="1">
      <c r="A233" s="28"/>
    </row>
    <row r="234" ht="15.75" customHeight="1">
      <c r="A234" s="28"/>
    </row>
    <row r="235" ht="15.75" customHeight="1">
      <c r="A235" s="28"/>
    </row>
    <row r="236" ht="15.75" customHeight="1">
      <c r="A236" s="28"/>
    </row>
    <row r="237" ht="15.75" customHeight="1">
      <c r="A237" s="28"/>
    </row>
    <row r="238" ht="15.75" customHeight="1">
      <c r="A238" s="28"/>
    </row>
    <row r="239" ht="15.75" customHeight="1">
      <c r="A239" s="28"/>
    </row>
    <row r="240" ht="15.75" customHeight="1">
      <c r="A240" s="28"/>
    </row>
    <row r="241" ht="15.75" customHeight="1">
      <c r="A241" s="28"/>
    </row>
    <row r="242" ht="15.75" customHeight="1">
      <c r="A242" s="28"/>
    </row>
    <row r="243" ht="15.75" customHeight="1">
      <c r="A243" s="28"/>
    </row>
    <row r="244" ht="15.75" customHeight="1">
      <c r="A244" s="28"/>
    </row>
    <row r="245" ht="15.75" customHeight="1">
      <c r="A245" s="28"/>
    </row>
    <row r="246" ht="15.75" customHeight="1">
      <c r="A246" s="28"/>
    </row>
    <row r="247" ht="15.75" customHeight="1">
      <c r="A247" s="28"/>
    </row>
    <row r="248" ht="15.75" customHeight="1">
      <c r="A248" s="28"/>
    </row>
    <row r="249" ht="15.75" customHeight="1">
      <c r="A249" s="28"/>
    </row>
    <row r="250" ht="15.75" customHeight="1">
      <c r="A250" s="28"/>
    </row>
    <row r="251" ht="15.75" customHeight="1">
      <c r="A251" s="28"/>
    </row>
    <row r="252" ht="15.75" customHeight="1">
      <c r="A252" s="28"/>
    </row>
    <row r="253" ht="15.75" customHeight="1">
      <c r="A253" s="28"/>
    </row>
    <row r="254" ht="15.75" customHeight="1">
      <c r="A254" s="28"/>
    </row>
    <row r="255" ht="15.75" customHeight="1">
      <c r="A255" s="28"/>
    </row>
    <row r="256" ht="15.75" customHeight="1">
      <c r="A256" s="28"/>
    </row>
    <row r="257" ht="15.75" customHeight="1">
      <c r="A257" s="28"/>
    </row>
    <row r="258" ht="15.75" customHeight="1">
      <c r="A258" s="28"/>
    </row>
    <row r="259" ht="15.75" customHeight="1">
      <c r="A259" s="28"/>
    </row>
    <row r="260" ht="15.75" customHeight="1">
      <c r="A260" s="28"/>
    </row>
    <row r="261" ht="15.75" customHeight="1">
      <c r="A261" s="28"/>
    </row>
    <row r="262" ht="15.75" customHeight="1">
      <c r="A262" s="28"/>
    </row>
    <row r="263" ht="15.75" customHeight="1">
      <c r="A263" s="28"/>
    </row>
    <row r="264" ht="15.75" customHeight="1">
      <c r="A264" s="28"/>
    </row>
    <row r="265" ht="15.75" customHeight="1">
      <c r="A265" s="28"/>
    </row>
    <row r="266" ht="15.75" customHeight="1">
      <c r="A266" s="28"/>
    </row>
    <row r="267" ht="15.75" customHeight="1">
      <c r="A267" s="28"/>
    </row>
    <row r="268" ht="15.75" customHeight="1">
      <c r="A268" s="28"/>
    </row>
    <row r="269" ht="15.75" customHeight="1">
      <c r="A269" s="28"/>
    </row>
    <row r="270" ht="15.75" customHeight="1">
      <c r="A270" s="28"/>
    </row>
    <row r="271" ht="15.75" customHeight="1">
      <c r="A271" s="28"/>
    </row>
    <row r="272" ht="15.75" customHeight="1">
      <c r="A272" s="28"/>
    </row>
    <row r="273" ht="15.75" customHeight="1">
      <c r="A273" s="28"/>
    </row>
    <row r="274" ht="15.75" customHeight="1">
      <c r="A274" s="28"/>
    </row>
    <row r="275" ht="15.75" customHeight="1">
      <c r="A275" s="28"/>
    </row>
    <row r="276" ht="15.75" customHeight="1">
      <c r="A276" s="28"/>
    </row>
    <row r="277" ht="15.75" customHeight="1">
      <c r="A277" s="28"/>
    </row>
    <row r="278" ht="15.75" customHeight="1">
      <c r="A278" s="28"/>
    </row>
    <row r="279" ht="15.75" customHeight="1">
      <c r="A279" s="28"/>
    </row>
    <row r="280" ht="15.75" customHeight="1">
      <c r="A280" s="28"/>
    </row>
    <row r="281" ht="15.75" customHeight="1">
      <c r="A281" s="28"/>
    </row>
    <row r="282" ht="15.75" customHeight="1">
      <c r="A282" s="28"/>
    </row>
    <row r="283" ht="15.75" customHeight="1">
      <c r="A283" s="28"/>
    </row>
    <row r="284" ht="15.75" customHeight="1">
      <c r="A284" s="28"/>
    </row>
    <row r="285" ht="15.75" customHeight="1">
      <c r="A285" s="28"/>
    </row>
    <row r="286" ht="15.75" customHeight="1">
      <c r="A286" s="28"/>
    </row>
    <row r="287" ht="15.75" customHeight="1">
      <c r="A287" s="28"/>
    </row>
    <row r="288" ht="15.75" customHeight="1">
      <c r="A288" s="28"/>
    </row>
    <row r="289" ht="15.75" customHeight="1">
      <c r="A289" s="28"/>
    </row>
    <row r="290" ht="15.75" customHeight="1">
      <c r="A290" s="28"/>
    </row>
    <row r="291" ht="15.75" customHeight="1">
      <c r="A291" s="28"/>
    </row>
    <row r="292" ht="15.75" customHeight="1">
      <c r="A292" s="28"/>
    </row>
    <row r="293" ht="15.75" customHeight="1">
      <c r="A293" s="28"/>
    </row>
    <row r="294" ht="15.75" customHeight="1">
      <c r="A294" s="28"/>
    </row>
    <row r="295" ht="15.75" customHeight="1">
      <c r="A295" s="28"/>
    </row>
    <row r="296" ht="15.75" customHeight="1">
      <c r="A296" s="28"/>
    </row>
    <row r="297" ht="15.75" customHeight="1">
      <c r="A297" s="28"/>
    </row>
    <row r="298" ht="15.75" customHeight="1">
      <c r="A298" s="28"/>
    </row>
    <row r="299" ht="15.75" customHeight="1">
      <c r="A299" s="28"/>
    </row>
    <row r="300" ht="15.75" customHeight="1">
      <c r="A300" s="28"/>
    </row>
    <row r="301" ht="15.75" customHeight="1">
      <c r="A301" s="28"/>
    </row>
    <row r="302" ht="15.75" customHeight="1">
      <c r="A302" s="28"/>
    </row>
    <row r="303" ht="15.75" customHeight="1">
      <c r="A303" s="28"/>
    </row>
    <row r="304" ht="15.75" customHeight="1">
      <c r="A304" s="28"/>
    </row>
    <row r="305" ht="15.75" customHeight="1">
      <c r="A305" s="28"/>
    </row>
    <row r="306" ht="15.75" customHeight="1">
      <c r="A306" s="28"/>
    </row>
    <row r="307" ht="15.75" customHeight="1">
      <c r="A307" s="28"/>
    </row>
    <row r="308" ht="15.75" customHeight="1">
      <c r="A308" s="28"/>
    </row>
    <row r="309" ht="15.75" customHeight="1">
      <c r="A309" s="28"/>
    </row>
    <row r="310" ht="15.75" customHeight="1">
      <c r="A310" s="28"/>
    </row>
    <row r="311" ht="15.75" customHeight="1">
      <c r="A311" s="28"/>
    </row>
    <row r="312" ht="15.75" customHeight="1">
      <c r="A312" s="28"/>
    </row>
    <row r="313" ht="15.75" customHeight="1">
      <c r="A313" s="28"/>
    </row>
    <row r="314" ht="15.75" customHeight="1">
      <c r="A314" s="28"/>
    </row>
    <row r="315" ht="15.75" customHeight="1">
      <c r="A315" s="28"/>
    </row>
    <row r="316" ht="15.75" customHeight="1">
      <c r="A316" s="28"/>
    </row>
    <row r="317" ht="15.75" customHeight="1">
      <c r="A317" s="28"/>
    </row>
    <row r="318" ht="15.75" customHeight="1">
      <c r="A318" s="28"/>
    </row>
    <row r="319" ht="15.75" customHeight="1">
      <c r="A319" s="28"/>
    </row>
    <row r="320" ht="15.75" customHeight="1">
      <c r="A320" s="28"/>
    </row>
    <row r="321" ht="15.75" customHeight="1">
      <c r="A321" s="28"/>
    </row>
    <row r="322" ht="15.75" customHeight="1">
      <c r="A322" s="28"/>
    </row>
    <row r="323" ht="15.75" customHeight="1">
      <c r="A323" s="28"/>
    </row>
    <row r="324" ht="15.75" customHeight="1">
      <c r="A324" s="28"/>
    </row>
    <row r="325" ht="15.75" customHeight="1">
      <c r="A325" s="28"/>
    </row>
    <row r="326" ht="15.75" customHeight="1">
      <c r="A326" s="28"/>
    </row>
    <row r="327" ht="15.75" customHeight="1">
      <c r="A327" s="28"/>
    </row>
    <row r="328" ht="15.75" customHeight="1">
      <c r="A328" s="28"/>
    </row>
    <row r="329" ht="15.75" customHeight="1">
      <c r="A329" s="28"/>
    </row>
    <row r="330" ht="15.75" customHeight="1">
      <c r="A330" s="28"/>
    </row>
    <row r="331" ht="15.75" customHeight="1">
      <c r="A331" s="28"/>
    </row>
    <row r="332" ht="15.75" customHeight="1">
      <c r="A332" s="28"/>
    </row>
    <row r="333" ht="15.75" customHeight="1">
      <c r="A333" s="28"/>
    </row>
    <row r="334" ht="15.75" customHeight="1">
      <c r="A334" s="28"/>
    </row>
    <row r="335" ht="15.75" customHeight="1">
      <c r="A335" s="28"/>
    </row>
    <row r="336" ht="15.75" customHeight="1">
      <c r="A336" s="28"/>
    </row>
    <row r="337" ht="15.75" customHeight="1">
      <c r="A337" s="28"/>
    </row>
    <row r="338" ht="15.75" customHeight="1">
      <c r="A338" s="28"/>
    </row>
    <row r="339" ht="15.75" customHeight="1">
      <c r="A339" s="28"/>
    </row>
    <row r="340" ht="15.75" customHeight="1">
      <c r="A340" s="28"/>
    </row>
    <row r="341" ht="15.75" customHeight="1">
      <c r="A341" s="28"/>
    </row>
    <row r="342" ht="15.75" customHeight="1">
      <c r="A342" s="28"/>
    </row>
    <row r="343" ht="15.75" customHeight="1">
      <c r="A343" s="28"/>
    </row>
    <row r="344" ht="15.75" customHeight="1">
      <c r="A344" s="28"/>
    </row>
    <row r="345" ht="15.75" customHeight="1">
      <c r="A345" s="28"/>
    </row>
    <row r="346" ht="15.75" customHeight="1">
      <c r="A346" s="28"/>
    </row>
    <row r="347" ht="15.75" customHeight="1">
      <c r="A347" s="28"/>
    </row>
    <row r="348" ht="15.75" customHeight="1">
      <c r="A348" s="28"/>
    </row>
    <row r="349" ht="15.75" customHeight="1">
      <c r="A349" s="28"/>
    </row>
    <row r="350" ht="15.75" customHeight="1">
      <c r="A350" s="28"/>
    </row>
    <row r="351" ht="15.75" customHeight="1">
      <c r="A351" s="28"/>
    </row>
    <row r="352" ht="15.75" customHeight="1">
      <c r="A352" s="28"/>
    </row>
    <row r="353" ht="15.75" customHeight="1">
      <c r="A353" s="28"/>
    </row>
    <row r="354" ht="15.75" customHeight="1">
      <c r="A354" s="28"/>
    </row>
    <row r="355" ht="15.75" customHeight="1">
      <c r="A355" s="28"/>
    </row>
    <row r="356" ht="15.75" customHeight="1">
      <c r="A356" s="28"/>
    </row>
    <row r="357" ht="15.75" customHeight="1">
      <c r="A357" s="28"/>
    </row>
    <row r="358" ht="15.75" customHeight="1">
      <c r="A358" s="28"/>
    </row>
    <row r="359" ht="15.75" customHeight="1">
      <c r="A359" s="28"/>
    </row>
    <row r="360" ht="15.75" customHeight="1">
      <c r="A360" s="28"/>
    </row>
    <row r="361" ht="15.75" customHeight="1">
      <c r="A361" s="28"/>
    </row>
    <row r="362" ht="15.75" customHeight="1">
      <c r="A362" s="28"/>
    </row>
    <row r="363" ht="15.75" customHeight="1">
      <c r="A363" s="28"/>
    </row>
    <row r="364" ht="15.75" customHeight="1">
      <c r="A364" s="28"/>
    </row>
    <row r="365" ht="15.75" customHeight="1">
      <c r="A365" s="28"/>
    </row>
    <row r="366" ht="15.75" customHeight="1">
      <c r="A366" s="28"/>
    </row>
    <row r="367" ht="15.75" customHeight="1">
      <c r="A367" s="28"/>
    </row>
    <row r="368" ht="15.75" customHeight="1">
      <c r="A368" s="28"/>
    </row>
    <row r="369" ht="15.75" customHeight="1">
      <c r="A369" s="28"/>
    </row>
    <row r="370" ht="15.75" customHeight="1">
      <c r="A370" s="28"/>
    </row>
    <row r="371" ht="15.75" customHeight="1">
      <c r="A371" s="28"/>
    </row>
    <row r="372" ht="15.75" customHeight="1">
      <c r="A372" s="28"/>
    </row>
    <row r="373" ht="15.75" customHeight="1">
      <c r="A373" s="28"/>
    </row>
    <row r="374" ht="15.75" customHeight="1">
      <c r="A374" s="28"/>
    </row>
    <row r="375" ht="15.75" customHeight="1">
      <c r="A375" s="28"/>
    </row>
    <row r="376" ht="15.75" customHeight="1">
      <c r="A376" s="28"/>
    </row>
    <row r="377" ht="15.75" customHeight="1">
      <c r="A377" s="28"/>
    </row>
    <row r="378" ht="15.75" customHeight="1">
      <c r="A378" s="28"/>
    </row>
    <row r="379" ht="15.75" customHeight="1">
      <c r="A379" s="28"/>
    </row>
    <row r="380" ht="15.75" customHeight="1">
      <c r="A380" s="28"/>
    </row>
    <row r="381" ht="15.75" customHeight="1">
      <c r="A381" s="28"/>
    </row>
    <row r="382" ht="15.75" customHeight="1">
      <c r="A382" s="28"/>
    </row>
    <row r="383" ht="15.75" customHeight="1">
      <c r="A383" s="28"/>
    </row>
    <row r="384" ht="15.75" customHeight="1">
      <c r="A384" s="28"/>
    </row>
    <row r="385" ht="15.75" customHeight="1">
      <c r="A385" s="28"/>
    </row>
    <row r="386" ht="15.75" customHeight="1">
      <c r="A386" s="28"/>
    </row>
    <row r="387" ht="15.75" customHeight="1">
      <c r="A387" s="28"/>
    </row>
    <row r="388" ht="15.75" customHeight="1">
      <c r="A388" s="28"/>
    </row>
    <row r="389" ht="15.75" customHeight="1">
      <c r="A389" s="28"/>
    </row>
    <row r="390" ht="15.75" customHeight="1">
      <c r="A390" s="28"/>
    </row>
    <row r="391" ht="15.75" customHeight="1">
      <c r="A391" s="28"/>
    </row>
    <row r="392" ht="15.75" customHeight="1">
      <c r="A392" s="28"/>
    </row>
    <row r="393" ht="15.75" customHeight="1">
      <c r="A393" s="28"/>
    </row>
    <row r="394" ht="15.75" customHeight="1">
      <c r="A394" s="28"/>
    </row>
    <row r="395" ht="15.75" customHeight="1">
      <c r="A395" s="28"/>
    </row>
    <row r="396" ht="15.75" customHeight="1">
      <c r="A396" s="28"/>
    </row>
    <row r="397" ht="15.75" customHeight="1">
      <c r="A397" s="28"/>
    </row>
    <row r="398" ht="15.75" customHeight="1">
      <c r="A398" s="28"/>
    </row>
    <row r="399" ht="15.75" customHeight="1">
      <c r="A399" s="28"/>
    </row>
    <row r="400" ht="15.75" customHeight="1">
      <c r="A400" s="28"/>
    </row>
    <row r="401" ht="15.75" customHeight="1">
      <c r="A401" s="28"/>
    </row>
    <row r="402" ht="15.75" customHeight="1">
      <c r="A402" s="28"/>
    </row>
    <row r="403" ht="15.75" customHeight="1">
      <c r="A403" s="28"/>
    </row>
    <row r="404" ht="15.75" customHeight="1">
      <c r="A404" s="28"/>
    </row>
    <row r="405" ht="15.75" customHeight="1">
      <c r="A405" s="28"/>
    </row>
    <row r="406" ht="15.75" customHeight="1">
      <c r="A406" s="28"/>
    </row>
    <row r="407" ht="15.75" customHeight="1">
      <c r="A407" s="28"/>
    </row>
    <row r="408" ht="15.75" customHeight="1">
      <c r="A408" s="28"/>
    </row>
    <row r="409" ht="15.75" customHeight="1">
      <c r="A409" s="28"/>
    </row>
    <row r="410" ht="15.75" customHeight="1">
      <c r="A410" s="28"/>
    </row>
    <row r="411" ht="15.75" customHeight="1">
      <c r="A411" s="28"/>
    </row>
    <row r="412" ht="15.75" customHeight="1">
      <c r="A412" s="28"/>
    </row>
    <row r="413" ht="15.75" customHeight="1">
      <c r="A413" s="28"/>
    </row>
    <row r="414" ht="15.75" customHeight="1">
      <c r="A414" s="28"/>
    </row>
    <row r="415" ht="15.75" customHeight="1">
      <c r="A415" s="28"/>
    </row>
    <row r="416" ht="15.75" customHeight="1">
      <c r="A416" s="28"/>
    </row>
    <row r="417" ht="15.75" customHeight="1">
      <c r="A417" s="28"/>
    </row>
    <row r="418" ht="15.75" customHeight="1">
      <c r="A418" s="28"/>
    </row>
    <row r="419" ht="15.75" customHeight="1">
      <c r="A419" s="28"/>
    </row>
    <row r="420" ht="15.75" customHeight="1">
      <c r="A420" s="28"/>
    </row>
    <row r="421" ht="15.75" customHeight="1">
      <c r="A421" s="28"/>
    </row>
    <row r="422" ht="15.75" customHeight="1">
      <c r="A422" s="28"/>
    </row>
    <row r="423" ht="15.75" customHeight="1">
      <c r="A423" s="28"/>
    </row>
    <row r="424" ht="15.75" customHeight="1">
      <c r="A424" s="28"/>
    </row>
    <row r="425" ht="15.75" customHeight="1">
      <c r="A425" s="28"/>
    </row>
    <row r="426" ht="15.75" customHeight="1">
      <c r="A426" s="28"/>
    </row>
    <row r="427" ht="15.75" customHeight="1">
      <c r="A427" s="28"/>
    </row>
    <row r="428" ht="15.75" customHeight="1">
      <c r="A428" s="28"/>
    </row>
    <row r="429" ht="15.75" customHeight="1">
      <c r="A429" s="28"/>
    </row>
    <row r="430" ht="15.75" customHeight="1">
      <c r="A430" s="28"/>
    </row>
    <row r="431" ht="15.75" customHeight="1">
      <c r="A431" s="28"/>
    </row>
    <row r="432" ht="15.75" customHeight="1">
      <c r="A432" s="28"/>
    </row>
    <row r="433" ht="15.75" customHeight="1">
      <c r="A433" s="28"/>
    </row>
    <row r="434" ht="15.75" customHeight="1">
      <c r="A434" s="28"/>
    </row>
    <row r="435" ht="15.75" customHeight="1">
      <c r="A435" s="28"/>
    </row>
    <row r="436" ht="15.75" customHeight="1">
      <c r="A436" s="28"/>
    </row>
    <row r="437" ht="15.75" customHeight="1">
      <c r="A437" s="28"/>
    </row>
    <row r="438" ht="15.75" customHeight="1">
      <c r="A438" s="28"/>
    </row>
    <row r="439" ht="15.75" customHeight="1">
      <c r="A439" s="28"/>
    </row>
    <row r="440" ht="15.75" customHeight="1">
      <c r="A440" s="28"/>
    </row>
    <row r="441" ht="15.75" customHeight="1">
      <c r="A441" s="28"/>
    </row>
    <row r="442" ht="15.75" customHeight="1">
      <c r="A442" s="28"/>
    </row>
    <row r="443" ht="15.75" customHeight="1">
      <c r="A443" s="28"/>
    </row>
    <row r="444" ht="15.75" customHeight="1">
      <c r="A444" s="28"/>
    </row>
    <row r="445" ht="15.75" customHeight="1">
      <c r="A445" s="28"/>
    </row>
    <row r="446" ht="15.75" customHeight="1">
      <c r="A446" s="28"/>
    </row>
    <row r="447" ht="15.75" customHeight="1">
      <c r="A447" s="28"/>
    </row>
    <row r="448" ht="15.75" customHeight="1">
      <c r="A448" s="28"/>
    </row>
    <row r="449" ht="15.75" customHeight="1">
      <c r="A449" s="28"/>
    </row>
    <row r="450" ht="15.75" customHeight="1">
      <c r="A450" s="28"/>
    </row>
    <row r="451" ht="15.75" customHeight="1">
      <c r="A451" s="28"/>
    </row>
    <row r="452" ht="15.75" customHeight="1">
      <c r="A452" s="28"/>
    </row>
    <row r="453" ht="15.75" customHeight="1">
      <c r="A453" s="28"/>
    </row>
    <row r="454" ht="15.75" customHeight="1">
      <c r="A454" s="28"/>
    </row>
    <row r="455" ht="15.75" customHeight="1">
      <c r="A455" s="28"/>
    </row>
    <row r="456" ht="15.75" customHeight="1">
      <c r="A456" s="28"/>
    </row>
    <row r="457" ht="15.75" customHeight="1">
      <c r="A457" s="28"/>
    </row>
    <row r="458" ht="15.75" customHeight="1">
      <c r="A458" s="28"/>
    </row>
    <row r="459" ht="15.75" customHeight="1">
      <c r="A459" s="28"/>
    </row>
    <row r="460" ht="15.75" customHeight="1">
      <c r="A460" s="28"/>
    </row>
    <row r="461" ht="15.75" customHeight="1">
      <c r="A461" s="28"/>
    </row>
    <row r="462" ht="15.75" customHeight="1">
      <c r="A462" s="28"/>
    </row>
    <row r="463" ht="15.75" customHeight="1">
      <c r="A463" s="28"/>
    </row>
    <row r="464" ht="15.75" customHeight="1">
      <c r="A464" s="28"/>
    </row>
    <row r="465" ht="15.75" customHeight="1">
      <c r="A465" s="28"/>
    </row>
    <row r="466" ht="15.75" customHeight="1">
      <c r="A466" s="28"/>
    </row>
    <row r="467" ht="15.75" customHeight="1">
      <c r="A467" s="28"/>
    </row>
    <row r="468" ht="15.75" customHeight="1">
      <c r="A468" s="28"/>
    </row>
    <row r="469" ht="15.75" customHeight="1">
      <c r="A469" s="28"/>
    </row>
    <row r="470" ht="15.75" customHeight="1">
      <c r="A470" s="28"/>
    </row>
    <row r="471" ht="15.75" customHeight="1">
      <c r="A471" s="28"/>
    </row>
    <row r="472" ht="15.75" customHeight="1">
      <c r="A472" s="28"/>
    </row>
    <row r="473" ht="15.75" customHeight="1">
      <c r="A473" s="28"/>
    </row>
    <row r="474" ht="15.75" customHeight="1">
      <c r="A474" s="28"/>
    </row>
    <row r="475" ht="15.75" customHeight="1">
      <c r="A475" s="28"/>
    </row>
    <row r="476" ht="15.75" customHeight="1">
      <c r="A476" s="28"/>
    </row>
    <row r="477" ht="15.75" customHeight="1">
      <c r="A477" s="28"/>
    </row>
    <row r="478" ht="15.75" customHeight="1">
      <c r="A478" s="28"/>
    </row>
    <row r="479" ht="15.75" customHeight="1">
      <c r="A479" s="28"/>
    </row>
    <row r="480" ht="15.75" customHeight="1">
      <c r="A480" s="28"/>
    </row>
    <row r="481" ht="15.75" customHeight="1">
      <c r="A481" s="28"/>
    </row>
    <row r="482" ht="15.75" customHeight="1">
      <c r="A482" s="28"/>
    </row>
    <row r="483" ht="15.75" customHeight="1">
      <c r="A483" s="28"/>
    </row>
    <row r="484" ht="15.75" customHeight="1">
      <c r="A484" s="28"/>
    </row>
    <row r="485" ht="15.75" customHeight="1">
      <c r="A485" s="28"/>
    </row>
    <row r="486" ht="15.75" customHeight="1">
      <c r="A486" s="28"/>
    </row>
    <row r="487" ht="15.75" customHeight="1">
      <c r="A487" s="28"/>
    </row>
    <row r="488" ht="15.75" customHeight="1">
      <c r="A488" s="28"/>
    </row>
    <row r="489" ht="15.75" customHeight="1">
      <c r="A489" s="28"/>
    </row>
    <row r="490" ht="15.75" customHeight="1">
      <c r="A490" s="28"/>
    </row>
    <row r="491" ht="15.75" customHeight="1">
      <c r="A491" s="28"/>
    </row>
    <row r="492" ht="15.75" customHeight="1">
      <c r="A492" s="28"/>
    </row>
    <row r="493" ht="15.75" customHeight="1">
      <c r="A493" s="28"/>
    </row>
    <row r="494" ht="15.75" customHeight="1">
      <c r="A494" s="28"/>
    </row>
    <row r="495" ht="15.75" customHeight="1">
      <c r="A495" s="28"/>
    </row>
    <row r="496" ht="15.75" customHeight="1">
      <c r="A496" s="28"/>
    </row>
    <row r="497" ht="15.75" customHeight="1">
      <c r="A497" s="28"/>
    </row>
    <row r="498" ht="15.75" customHeight="1">
      <c r="A498" s="28"/>
    </row>
    <row r="499" ht="15.75" customHeight="1">
      <c r="A499" s="28"/>
    </row>
    <row r="500" ht="15.75" customHeight="1">
      <c r="A500" s="28"/>
    </row>
    <row r="501" ht="15.75" customHeight="1">
      <c r="A501" s="28"/>
    </row>
    <row r="502" ht="15.75" customHeight="1">
      <c r="A502" s="28"/>
    </row>
    <row r="503" ht="15.75" customHeight="1">
      <c r="A503" s="28"/>
    </row>
    <row r="504" ht="15.75" customHeight="1">
      <c r="A504" s="28"/>
    </row>
    <row r="505" ht="15.75" customHeight="1">
      <c r="A505" s="28"/>
    </row>
    <row r="506" ht="15.75" customHeight="1">
      <c r="A506" s="28"/>
    </row>
    <row r="507" ht="15.75" customHeight="1">
      <c r="A507" s="28"/>
    </row>
    <row r="508" ht="15.75" customHeight="1">
      <c r="A508" s="28"/>
    </row>
    <row r="509" ht="15.75" customHeight="1">
      <c r="A509" s="28"/>
    </row>
    <row r="510" ht="15.75" customHeight="1">
      <c r="A510" s="28"/>
    </row>
    <row r="511" ht="15.75" customHeight="1">
      <c r="A511" s="28"/>
    </row>
    <row r="512" ht="15.75" customHeight="1">
      <c r="A512" s="28"/>
    </row>
    <row r="513" ht="15.75" customHeight="1">
      <c r="A513" s="28"/>
    </row>
    <row r="514" ht="15.75" customHeight="1">
      <c r="A514" s="28"/>
    </row>
    <row r="515" ht="15.75" customHeight="1">
      <c r="A515" s="28"/>
    </row>
    <row r="516" ht="15.75" customHeight="1">
      <c r="A516" s="28"/>
    </row>
    <row r="517" ht="15.75" customHeight="1">
      <c r="A517" s="28"/>
    </row>
    <row r="518" ht="15.75" customHeight="1">
      <c r="A518" s="28"/>
    </row>
    <row r="519" ht="15.75" customHeight="1">
      <c r="A519" s="28"/>
    </row>
    <row r="520" ht="15.75" customHeight="1">
      <c r="A520" s="28"/>
    </row>
    <row r="521" ht="15.75" customHeight="1">
      <c r="A521" s="28"/>
    </row>
    <row r="522" ht="15.75" customHeight="1">
      <c r="A522" s="28"/>
    </row>
    <row r="523" ht="15.75" customHeight="1">
      <c r="A523" s="28"/>
    </row>
    <row r="524" ht="15.75" customHeight="1">
      <c r="A524" s="28"/>
    </row>
    <row r="525" ht="15.75" customHeight="1">
      <c r="A525" s="28"/>
    </row>
    <row r="526" ht="15.75" customHeight="1">
      <c r="A526" s="28"/>
    </row>
    <row r="527" ht="15.75" customHeight="1">
      <c r="A527" s="28"/>
    </row>
    <row r="528" ht="15.75" customHeight="1">
      <c r="A528" s="28"/>
    </row>
    <row r="529" ht="15.75" customHeight="1">
      <c r="A529" s="28"/>
    </row>
    <row r="530" ht="15.75" customHeight="1">
      <c r="A530" s="28"/>
    </row>
    <row r="531" ht="15.75" customHeight="1">
      <c r="A531" s="28"/>
    </row>
    <row r="532" ht="15.75" customHeight="1">
      <c r="A532" s="28"/>
    </row>
    <row r="533" ht="15.75" customHeight="1">
      <c r="A533" s="28"/>
    </row>
    <row r="534" ht="15.75" customHeight="1">
      <c r="A534" s="28"/>
    </row>
    <row r="535" ht="15.75" customHeight="1">
      <c r="A535" s="28"/>
    </row>
    <row r="536" ht="15.75" customHeight="1">
      <c r="A536" s="28"/>
    </row>
    <row r="537" ht="15.75" customHeight="1">
      <c r="A537" s="28"/>
    </row>
    <row r="538" ht="15.75" customHeight="1">
      <c r="A538" s="28"/>
    </row>
    <row r="539" ht="15.75" customHeight="1">
      <c r="A539" s="28"/>
    </row>
    <row r="540" ht="15.75" customHeight="1">
      <c r="A540" s="28"/>
    </row>
    <row r="541" ht="15.75" customHeight="1">
      <c r="A541" s="28"/>
    </row>
    <row r="542" ht="15.75" customHeight="1">
      <c r="A542" s="28"/>
    </row>
    <row r="543" ht="15.75" customHeight="1">
      <c r="A543" s="28"/>
    </row>
    <row r="544" ht="15.75" customHeight="1">
      <c r="A544" s="28"/>
    </row>
    <row r="545" ht="15.75" customHeight="1">
      <c r="A545" s="28"/>
    </row>
    <row r="546" ht="15.75" customHeight="1">
      <c r="A546" s="28"/>
    </row>
    <row r="547" ht="15.75" customHeight="1">
      <c r="A547" s="28"/>
    </row>
    <row r="548" ht="15.75" customHeight="1">
      <c r="A548" s="28"/>
    </row>
    <row r="549" ht="15.75" customHeight="1">
      <c r="A549" s="28"/>
    </row>
    <row r="550" ht="15.75" customHeight="1">
      <c r="A550" s="28"/>
    </row>
    <row r="551" ht="15.75" customHeight="1">
      <c r="A551" s="28"/>
    </row>
    <row r="552" ht="15.75" customHeight="1">
      <c r="A552" s="28"/>
    </row>
    <row r="553" ht="15.75" customHeight="1">
      <c r="A553" s="28"/>
    </row>
    <row r="554" ht="15.75" customHeight="1">
      <c r="A554" s="28"/>
    </row>
    <row r="555" ht="15.75" customHeight="1">
      <c r="A555" s="28"/>
    </row>
    <row r="556" ht="15.75" customHeight="1">
      <c r="A556" s="28"/>
    </row>
    <row r="557" ht="15.75" customHeight="1">
      <c r="A557" s="28"/>
    </row>
    <row r="558" ht="15.75" customHeight="1">
      <c r="A558" s="28"/>
    </row>
    <row r="559" ht="15.75" customHeight="1">
      <c r="A559" s="28"/>
    </row>
    <row r="560" ht="15.75" customHeight="1">
      <c r="A560" s="28"/>
    </row>
    <row r="561" ht="15.75" customHeight="1">
      <c r="A561" s="28"/>
    </row>
    <row r="562" ht="15.75" customHeight="1">
      <c r="A562" s="28"/>
    </row>
    <row r="563" ht="15.75" customHeight="1">
      <c r="A563" s="28"/>
    </row>
    <row r="564" ht="15.75" customHeight="1">
      <c r="A564" s="28"/>
    </row>
    <row r="565" ht="15.75" customHeight="1">
      <c r="A565" s="28"/>
    </row>
    <row r="566" ht="15.75" customHeight="1">
      <c r="A566" s="28"/>
    </row>
    <row r="567" ht="15.75" customHeight="1">
      <c r="A567" s="28"/>
    </row>
    <row r="568" ht="15.75" customHeight="1">
      <c r="A568" s="28"/>
    </row>
    <row r="569" ht="15.75" customHeight="1">
      <c r="A569" s="28"/>
    </row>
    <row r="570" ht="15.75" customHeight="1">
      <c r="A570" s="28"/>
    </row>
    <row r="571" ht="15.75" customHeight="1">
      <c r="A571" s="28"/>
    </row>
    <row r="572" ht="15.75" customHeight="1">
      <c r="A572" s="28"/>
    </row>
    <row r="573" ht="15.75" customHeight="1">
      <c r="A573" s="28"/>
    </row>
    <row r="574" ht="15.75" customHeight="1">
      <c r="A574" s="28"/>
    </row>
    <row r="575" ht="15.75" customHeight="1">
      <c r="A575" s="28"/>
    </row>
    <row r="576" ht="15.75" customHeight="1">
      <c r="A576" s="28"/>
    </row>
    <row r="577" ht="15.75" customHeight="1">
      <c r="A577" s="28"/>
    </row>
    <row r="578" ht="15.75" customHeight="1">
      <c r="A578" s="28"/>
    </row>
    <row r="579" ht="15.75" customHeight="1">
      <c r="A579" s="28"/>
    </row>
    <row r="580" ht="15.75" customHeight="1">
      <c r="A580" s="28"/>
    </row>
    <row r="581" ht="15.75" customHeight="1">
      <c r="A581" s="28"/>
    </row>
    <row r="582" ht="15.75" customHeight="1">
      <c r="A582" s="28"/>
    </row>
    <row r="583" ht="15.75" customHeight="1">
      <c r="A583" s="28"/>
    </row>
    <row r="584" ht="15.75" customHeight="1">
      <c r="A584" s="28"/>
    </row>
    <row r="585" ht="15.75" customHeight="1">
      <c r="A585" s="28"/>
    </row>
    <row r="586" ht="15.75" customHeight="1">
      <c r="A586" s="28"/>
    </row>
    <row r="587" ht="15.75" customHeight="1">
      <c r="A587" s="28"/>
    </row>
    <row r="588" ht="15.75" customHeight="1">
      <c r="A588" s="28"/>
    </row>
    <row r="589" ht="15.75" customHeight="1">
      <c r="A589" s="28"/>
    </row>
    <row r="590" ht="15.75" customHeight="1">
      <c r="A590" s="28"/>
    </row>
    <row r="591" ht="15.75" customHeight="1">
      <c r="A591" s="28"/>
    </row>
    <row r="592" ht="15.75" customHeight="1">
      <c r="A592" s="28"/>
    </row>
    <row r="593" ht="15.75" customHeight="1">
      <c r="A593" s="28"/>
    </row>
    <row r="594" ht="15.75" customHeight="1">
      <c r="A594" s="28"/>
    </row>
    <row r="595" ht="15.75" customHeight="1">
      <c r="A595" s="28"/>
    </row>
    <row r="596" ht="15.75" customHeight="1">
      <c r="A596" s="28"/>
    </row>
    <row r="597" ht="15.75" customHeight="1">
      <c r="A597" s="28"/>
    </row>
    <row r="598" ht="15.75" customHeight="1">
      <c r="A598" s="28"/>
    </row>
    <row r="599" ht="15.75" customHeight="1">
      <c r="A599" s="28"/>
    </row>
    <row r="600" ht="15.75" customHeight="1">
      <c r="A600" s="28"/>
    </row>
    <row r="601" ht="15.75" customHeight="1">
      <c r="A601" s="28"/>
    </row>
    <row r="602" ht="15.75" customHeight="1">
      <c r="A602" s="28"/>
    </row>
    <row r="603" ht="15.75" customHeight="1">
      <c r="A603" s="28"/>
    </row>
    <row r="604" ht="15.75" customHeight="1">
      <c r="A604" s="28"/>
    </row>
    <row r="605" ht="15.75" customHeight="1">
      <c r="A605" s="28"/>
    </row>
    <row r="606" ht="15.75" customHeight="1">
      <c r="A606" s="28"/>
    </row>
    <row r="607" ht="15.75" customHeight="1">
      <c r="A607" s="28"/>
    </row>
    <row r="608" ht="15.75" customHeight="1">
      <c r="A608" s="28"/>
    </row>
    <row r="609" ht="15.75" customHeight="1">
      <c r="A609" s="28"/>
    </row>
    <row r="610" ht="15.75" customHeight="1">
      <c r="A610" s="28"/>
    </row>
    <row r="611" ht="15.75" customHeight="1">
      <c r="A611" s="28"/>
    </row>
    <row r="612" ht="15.75" customHeight="1">
      <c r="A612" s="28"/>
    </row>
    <row r="613" ht="15.75" customHeight="1">
      <c r="A613" s="28"/>
    </row>
    <row r="614" ht="15.75" customHeight="1">
      <c r="A614" s="28"/>
    </row>
    <row r="615" ht="15.75" customHeight="1">
      <c r="A615" s="28"/>
    </row>
    <row r="616" ht="15.75" customHeight="1">
      <c r="A616" s="28"/>
    </row>
    <row r="617" ht="15.75" customHeight="1">
      <c r="A617" s="28"/>
    </row>
    <row r="618" ht="15.75" customHeight="1">
      <c r="A618" s="28"/>
    </row>
    <row r="619" ht="15.75" customHeight="1">
      <c r="A619" s="28"/>
    </row>
    <row r="620" ht="15.75" customHeight="1">
      <c r="A620" s="28"/>
    </row>
    <row r="621" ht="15.75" customHeight="1">
      <c r="A621" s="28"/>
    </row>
    <row r="622" ht="15.75" customHeight="1">
      <c r="A622" s="28"/>
    </row>
    <row r="623" ht="15.75" customHeight="1">
      <c r="A623" s="28"/>
    </row>
    <row r="624" ht="15.75" customHeight="1">
      <c r="A624" s="28"/>
    </row>
    <row r="625" ht="15.75" customHeight="1">
      <c r="A625" s="28"/>
    </row>
    <row r="626" ht="15.75" customHeight="1">
      <c r="A626" s="28"/>
    </row>
    <row r="627" ht="15.75" customHeight="1">
      <c r="A627" s="28"/>
    </row>
    <row r="628" ht="15.75" customHeight="1">
      <c r="A628" s="28"/>
    </row>
    <row r="629" ht="15.75" customHeight="1">
      <c r="A629" s="28"/>
    </row>
    <row r="630" ht="15.75" customHeight="1">
      <c r="A630" s="28"/>
    </row>
    <row r="631" ht="15.75" customHeight="1">
      <c r="A631" s="28"/>
    </row>
    <row r="632" ht="15.75" customHeight="1">
      <c r="A632" s="28"/>
    </row>
    <row r="633" ht="15.75" customHeight="1">
      <c r="A633" s="28"/>
    </row>
    <row r="634" ht="15.75" customHeight="1">
      <c r="A634" s="28"/>
    </row>
    <row r="635" ht="15.75" customHeight="1">
      <c r="A635" s="28"/>
    </row>
    <row r="636" ht="15.75" customHeight="1">
      <c r="A636" s="28"/>
    </row>
    <row r="637" ht="15.75" customHeight="1">
      <c r="A637" s="28"/>
    </row>
    <row r="638" ht="15.75" customHeight="1">
      <c r="A638" s="28"/>
    </row>
    <row r="639" ht="15.75" customHeight="1">
      <c r="A639" s="28"/>
    </row>
    <row r="640" ht="15.75" customHeight="1">
      <c r="A640" s="28"/>
    </row>
    <row r="641" ht="15.75" customHeight="1">
      <c r="A641" s="28"/>
    </row>
    <row r="642" ht="15.75" customHeight="1">
      <c r="A642" s="28"/>
    </row>
    <row r="643" ht="15.75" customHeight="1">
      <c r="A643" s="28"/>
    </row>
    <row r="644" ht="15.75" customHeight="1">
      <c r="A644" s="28"/>
    </row>
    <row r="645" ht="15.75" customHeight="1">
      <c r="A645" s="28"/>
    </row>
    <row r="646" ht="15.75" customHeight="1">
      <c r="A646" s="28"/>
    </row>
    <row r="647" ht="15.75" customHeight="1">
      <c r="A647" s="28"/>
    </row>
    <row r="648" ht="15.75" customHeight="1">
      <c r="A648" s="28"/>
    </row>
    <row r="649" ht="15.75" customHeight="1">
      <c r="A649" s="28"/>
    </row>
    <row r="650" ht="15.75" customHeight="1">
      <c r="A650" s="28"/>
    </row>
    <row r="651" ht="15.75" customHeight="1">
      <c r="A651" s="28"/>
    </row>
    <row r="652" ht="15.75" customHeight="1">
      <c r="A652" s="28"/>
    </row>
    <row r="653" ht="15.75" customHeight="1">
      <c r="A653" s="28"/>
    </row>
    <row r="654" ht="15.75" customHeight="1">
      <c r="A654" s="28"/>
    </row>
    <row r="655" ht="15.75" customHeight="1">
      <c r="A655" s="28"/>
    </row>
    <row r="656" ht="15.75" customHeight="1">
      <c r="A656" s="28"/>
    </row>
    <row r="657" ht="15.75" customHeight="1">
      <c r="A657" s="28"/>
    </row>
    <row r="658" ht="15.75" customHeight="1">
      <c r="A658" s="28"/>
    </row>
    <row r="659" ht="15.75" customHeight="1">
      <c r="A659" s="28"/>
    </row>
    <row r="660" ht="15.75" customHeight="1">
      <c r="A660" s="28"/>
    </row>
    <row r="661" ht="15.75" customHeight="1">
      <c r="A661" s="28"/>
    </row>
    <row r="662" ht="15.75" customHeight="1">
      <c r="A662" s="28"/>
    </row>
    <row r="663" ht="15.75" customHeight="1">
      <c r="A663" s="28"/>
    </row>
    <row r="664" ht="15.75" customHeight="1">
      <c r="A664" s="28"/>
    </row>
    <row r="665" ht="15.75" customHeight="1">
      <c r="A665" s="28"/>
    </row>
    <row r="666" ht="15.75" customHeight="1">
      <c r="A666" s="28"/>
    </row>
    <row r="667" ht="15.75" customHeight="1">
      <c r="A667" s="28"/>
    </row>
    <row r="668" ht="15.75" customHeight="1">
      <c r="A668" s="28"/>
    </row>
    <row r="669" ht="15.75" customHeight="1">
      <c r="A669" s="28"/>
    </row>
    <row r="670" ht="15.75" customHeight="1">
      <c r="A670" s="28"/>
    </row>
    <row r="671" ht="15.75" customHeight="1">
      <c r="A671" s="28"/>
    </row>
    <row r="672" ht="15.75" customHeight="1">
      <c r="A672" s="28"/>
    </row>
    <row r="673" ht="15.75" customHeight="1">
      <c r="A673" s="28"/>
    </row>
    <row r="674" ht="15.75" customHeight="1">
      <c r="A674" s="28"/>
    </row>
    <row r="675" ht="15.75" customHeight="1">
      <c r="A675" s="28"/>
    </row>
    <row r="676" ht="15.75" customHeight="1">
      <c r="A676" s="28"/>
    </row>
    <row r="677" ht="15.75" customHeight="1">
      <c r="A677" s="28"/>
    </row>
    <row r="678" ht="15.75" customHeight="1">
      <c r="A678" s="28"/>
    </row>
    <row r="679" ht="15.75" customHeight="1">
      <c r="A679" s="28"/>
    </row>
    <row r="680" ht="15.75" customHeight="1">
      <c r="A680" s="28"/>
    </row>
    <row r="681" ht="15.75" customHeight="1">
      <c r="A681" s="28"/>
    </row>
    <row r="682" ht="15.75" customHeight="1">
      <c r="A682" s="28"/>
    </row>
    <row r="683" ht="15.75" customHeight="1">
      <c r="A683" s="28"/>
    </row>
    <row r="684" ht="15.75" customHeight="1">
      <c r="A684" s="28"/>
    </row>
    <row r="685" ht="15.75" customHeight="1">
      <c r="A685" s="28"/>
    </row>
    <row r="686" ht="15.75" customHeight="1">
      <c r="A686" s="28"/>
    </row>
    <row r="687" ht="15.75" customHeight="1">
      <c r="A687" s="28"/>
    </row>
    <row r="688" ht="15.75" customHeight="1">
      <c r="A688" s="28"/>
    </row>
    <row r="689" ht="15.75" customHeight="1">
      <c r="A689" s="28"/>
    </row>
    <row r="690" ht="15.75" customHeight="1">
      <c r="A690" s="28"/>
    </row>
    <row r="691" ht="15.75" customHeight="1">
      <c r="A691" s="28"/>
    </row>
    <row r="692" ht="15.75" customHeight="1">
      <c r="A692" s="28"/>
    </row>
    <row r="693" ht="15.75" customHeight="1">
      <c r="A693" s="28"/>
    </row>
    <row r="694" ht="15.75" customHeight="1">
      <c r="A694" s="28"/>
    </row>
    <row r="695" ht="15.75" customHeight="1">
      <c r="A695" s="28"/>
    </row>
    <row r="696" ht="15.75" customHeight="1">
      <c r="A696" s="28"/>
    </row>
    <row r="697" ht="15.75" customHeight="1">
      <c r="A697" s="28"/>
    </row>
    <row r="698" ht="15.75" customHeight="1">
      <c r="A698" s="28"/>
    </row>
    <row r="699" ht="15.75" customHeight="1">
      <c r="A699" s="28"/>
    </row>
    <row r="700" ht="15.75" customHeight="1">
      <c r="A700" s="28"/>
    </row>
    <row r="701" ht="15.75" customHeight="1">
      <c r="A701" s="28"/>
    </row>
    <row r="702" ht="15.75" customHeight="1">
      <c r="A702" s="28"/>
    </row>
    <row r="703" ht="15.75" customHeight="1">
      <c r="A703" s="28"/>
    </row>
    <row r="704" ht="15.75" customHeight="1">
      <c r="A704" s="28"/>
    </row>
    <row r="705" ht="15.75" customHeight="1">
      <c r="A705" s="28"/>
    </row>
    <row r="706" ht="15.75" customHeight="1">
      <c r="A706" s="28"/>
    </row>
    <row r="707" ht="15.75" customHeight="1">
      <c r="A707" s="28"/>
    </row>
    <row r="708" ht="15.75" customHeight="1">
      <c r="A708" s="28"/>
    </row>
    <row r="709" ht="15.75" customHeight="1">
      <c r="A709" s="28"/>
    </row>
    <row r="710" ht="15.75" customHeight="1">
      <c r="A710" s="28"/>
    </row>
    <row r="711" ht="15.75" customHeight="1">
      <c r="A711" s="28"/>
    </row>
    <row r="712" ht="15.75" customHeight="1">
      <c r="A712" s="28"/>
    </row>
    <row r="713" ht="15.75" customHeight="1">
      <c r="A713" s="28"/>
    </row>
    <row r="714" ht="15.75" customHeight="1">
      <c r="A714" s="28"/>
    </row>
    <row r="715" ht="15.75" customHeight="1">
      <c r="A715" s="28"/>
    </row>
    <row r="716" ht="15.75" customHeight="1">
      <c r="A716" s="28"/>
    </row>
    <row r="717" ht="15.75" customHeight="1">
      <c r="A717" s="28"/>
    </row>
    <row r="718" ht="15.75" customHeight="1">
      <c r="A718" s="28"/>
    </row>
    <row r="719" ht="15.75" customHeight="1">
      <c r="A719" s="28"/>
    </row>
    <row r="720" ht="15.75" customHeight="1">
      <c r="A720" s="28"/>
    </row>
    <row r="721" ht="15.75" customHeight="1">
      <c r="A721" s="28"/>
    </row>
    <row r="722" ht="15.75" customHeight="1">
      <c r="A722" s="28"/>
    </row>
    <row r="723" ht="15.75" customHeight="1">
      <c r="A723" s="28"/>
    </row>
    <row r="724" ht="15.75" customHeight="1">
      <c r="A724" s="28"/>
    </row>
    <row r="725" ht="15.75" customHeight="1">
      <c r="A725" s="28"/>
    </row>
    <row r="726" ht="15.75" customHeight="1">
      <c r="A726" s="28"/>
    </row>
    <row r="727" ht="15.75" customHeight="1">
      <c r="A727" s="28"/>
    </row>
    <row r="728" ht="15.75" customHeight="1">
      <c r="A728" s="28"/>
    </row>
    <row r="729" ht="15.75" customHeight="1">
      <c r="A729" s="28"/>
    </row>
    <row r="730" ht="15.75" customHeight="1">
      <c r="A730" s="28"/>
    </row>
    <row r="731" ht="15.75" customHeight="1">
      <c r="A731" s="28"/>
    </row>
    <row r="732" ht="15.75" customHeight="1">
      <c r="A732" s="28"/>
    </row>
    <row r="733" ht="15.75" customHeight="1">
      <c r="A733" s="28"/>
    </row>
    <row r="734" ht="15.75" customHeight="1">
      <c r="A734" s="28"/>
    </row>
    <row r="735" ht="15.75" customHeight="1">
      <c r="A735" s="28"/>
    </row>
    <row r="736" ht="15.75" customHeight="1">
      <c r="A736" s="28"/>
    </row>
    <row r="737" ht="15.75" customHeight="1">
      <c r="A737" s="28"/>
    </row>
    <row r="738" ht="15.75" customHeight="1">
      <c r="A738" s="28"/>
    </row>
    <row r="739" ht="15.75" customHeight="1">
      <c r="A739" s="28"/>
    </row>
    <row r="740" ht="15.75" customHeight="1">
      <c r="A740" s="28"/>
    </row>
    <row r="741" ht="15.75" customHeight="1">
      <c r="A741" s="28"/>
    </row>
    <row r="742" ht="15.75" customHeight="1">
      <c r="A742" s="28"/>
    </row>
    <row r="743" ht="15.75" customHeight="1">
      <c r="A743" s="28"/>
    </row>
    <row r="744" ht="15.75" customHeight="1">
      <c r="A744" s="28"/>
    </row>
    <row r="745" ht="15.75" customHeight="1">
      <c r="A745" s="28"/>
    </row>
    <row r="746" ht="15.75" customHeight="1">
      <c r="A746" s="28"/>
    </row>
    <row r="747" ht="15.75" customHeight="1">
      <c r="A747" s="28"/>
    </row>
    <row r="748" ht="15.75" customHeight="1">
      <c r="A748" s="28"/>
    </row>
    <row r="749" ht="15.75" customHeight="1">
      <c r="A749" s="28"/>
    </row>
    <row r="750" ht="15.75" customHeight="1">
      <c r="A750" s="28"/>
    </row>
    <row r="751" ht="15.75" customHeight="1">
      <c r="A751" s="28"/>
    </row>
    <row r="752" ht="15.75" customHeight="1">
      <c r="A752" s="28"/>
    </row>
    <row r="753" ht="15.75" customHeight="1">
      <c r="A753" s="28"/>
    </row>
    <row r="754" ht="15.75" customHeight="1">
      <c r="A754" s="28"/>
    </row>
    <row r="755" ht="15.75" customHeight="1">
      <c r="A755" s="28"/>
    </row>
    <row r="756" ht="15.75" customHeight="1">
      <c r="A756" s="28"/>
    </row>
    <row r="757" ht="15.75" customHeight="1">
      <c r="A757" s="28"/>
    </row>
    <row r="758" ht="15.75" customHeight="1">
      <c r="A758" s="28"/>
    </row>
    <row r="759" ht="15.75" customHeight="1">
      <c r="A759" s="28"/>
    </row>
    <row r="760" ht="15.75" customHeight="1">
      <c r="A760" s="28"/>
    </row>
    <row r="761" ht="15.75" customHeight="1">
      <c r="A761" s="28"/>
    </row>
    <row r="762" ht="15.75" customHeight="1">
      <c r="A762" s="28"/>
    </row>
    <row r="763" ht="15.75" customHeight="1">
      <c r="A763" s="28"/>
    </row>
    <row r="764" ht="15.75" customHeight="1">
      <c r="A764" s="28"/>
    </row>
    <row r="765" ht="15.75" customHeight="1">
      <c r="A765" s="28"/>
    </row>
    <row r="766" ht="15.75" customHeight="1">
      <c r="A766" s="28"/>
    </row>
    <row r="767" ht="15.75" customHeight="1">
      <c r="A767" s="28"/>
    </row>
    <row r="768" ht="15.75" customHeight="1">
      <c r="A768" s="28"/>
    </row>
    <row r="769" ht="15.75" customHeight="1">
      <c r="A769" s="28"/>
    </row>
    <row r="770" ht="15.75" customHeight="1">
      <c r="A770" s="28"/>
    </row>
    <row r="771" ht="15.75" customHeight="1">
      <c r="A771" s="28"/>
    </row>
    <row r="772" ht="15.75" customHeight="1">
      <c r="A772" s="28"/>
    </row>
    <row r="773" ht="15.75" customHeight="1">
      <c r="A773" s="28"/>
    </row>
    <row r="774" ht="15.75" customHeight="1">
      <c r="A774" s="28"/>
    </row>
    <row r="775" ht="15.75" customHeight="1">
      <c r="A775" s="28"/>
    </row>
    <row r="776" ht="15.75" customHeight="1">
      <c r="A776" s="28"/>
    </row>
    <row r="777" ht="15.75" customHeight="1">
      <c r="A777" s="28"/>
    </row>
    <row r="778" ht="15.75" customHeight="1">
      <c r="A778" s="28"/>
    </row>
    <row r="779" ht="15.75" customHeight="1">
      <c r="A779" s="28"/>
    </row>
    <row r="780" ht="15.75" customHeight="1">
      <c r="A780" s="28"/>
    </row>
    <row r="781" ht="15.75" customHeight="1">
      <c r="A781" s="28"/>
    </row>
    <row r="782" ht="15.75" customHeight="1">
      <c r="A782" s="28"/>
    </row>
    <row r="783" ht="15.75" customHeight="1">
      <c r="A783" s="28"/>
    </row>
    <row r="784" ht="15.75" customHeight="1">
      <c r="A784" s="28"/>
    </row>
    <row r="785" ht="15.75" customHeight="1">
      <c r="A785" s="28"/>
    </row>
    <row r="786" ht="15.75" customHeight="1">
      <c r="A786" s="28"/>
    </row>
    <row r="787" ht="15.75" customHeight="1">
      <c r="A787" s="28"/>
    </row>
    <row r="788" ht="15.75" customHeight="1">
      <c r="A788" s="28"/>
    </row>
    <row r="789" ht="15.75" customHeight="1">
      <c r="A789" s="28"/>
    </row>
    <row r="790" ht="15.75" customHeight="1">
      <c r="A790" s="28"/>
    </row>
    <row r="791" ht="15.75" customHeight="1">
      <c r="A791" s="28"/>
    </row>
    <row r="792" ht="15.75" customHeight="1">
      <c r="A792" s="28"/>
    </row>
    <row r="793" ht="15.75" customHeight="1">
      <c r="A793" s="28"/>
    </row>
    <row r="794" ht="15.75" customHeight="1">
      <c r="A794" s="28"/>
    </row>
    <row r="795" ht="15.75" customHeight="1">
      <c r="A795" s="28"/>
    </row>
    <row r="796" ht="15.75" customHeight="1">
      <c r="A796" s="28"/>
    </row>
    <row r="797" ht="15.75" customHeight="1">
      <c r="A797" s="28"/>
    </row>
    <row r="798" ht="15.75" customHeight="1">
      <c r="A798" s="28"/>
    </row>
    <row r="799" ht="15.75" customHeight="1">
      <c r="A799" s="28"/>
    </row>
    <row r="800" ht="15.75" customHeight="1">
      <c r="A800" s="28"/>
    </row>
    <row r="801" ht="15.75" customHeight="1">
      <c r="A801" s="28"/>
    </row>
    <row r="802" ht="15.75" customHeight="1">
      <c r="A802" s="28"/>
    </row>
    <row r="803" ht="15.75" customHeight="1">
      <c r="A803" s="28"/>
    </row>
    <row r="804" ht="15.75" customHeight="1">
      <c r="A804" s="28"/>
    </row>
    <row r="805" ht="15.75" customHeight="1">
      <c r="A805" s="28"/>
    </row>
    <row r="806" ht="15.75" customHeight="1">
      <c r="A806" s="28"/>
    </row>
    <row r="807" ht="15.75" customHeight="1">
      <c r="A807" s="28"/>
    </row>
    <row r="808" ht="15.75" customHeight="1">
      <c r="A808" s="28"/>
    </row>
    <row r="809" ht="15.75" customHeight="1">
      <c r="A809" s="28"/>
    </row>
    <row r="810" ht="15.75" customHeight="1">
      <c r="A810" s="28"/>
    </row>
    <row r="811" ht="15.75" customHeight="1">
      <c r="A811" s="28"/>
    </row>
    <row r="812" ht="15.75" customHeight="1">
      <c r="A812" s="28"/>
    </row>
    <row r="813" ht="15.75" customHeight="1">
      <c r="A813" s="28"/>
    </row>
    <row r="814" ht="15.75" customHeight="1">
      <c r="A814" s="28"/>
    </row>
    <row r="815" ht="15.75" customHeight="1">
      <c r="A815" s="28"/>
    </row>
    <row r="816" ht="15.75" customHeight="1">
      <c r="A816" s="28"/>
    </row>
    <row r="817" ht="15.75" customHeight="1">
      <c r="A817" s="28"/>
    </row>
    <row r="818" ht="15.75" customHeight="1">
      <c r="A818" s="28"/>
    </row>
    <row r="819" ht="15.75" customHeight="1">
      <c r="A819" s="28"/>
    </row>
    <row r="820" ht="15.75" customHeight="1">
      <c r="A820" s="28"/>
    </row>
    <row r="821" ht="15.75" customHeight="1">
      <c r="A821" s="28"/>
    </row>
    <row r="822" ht="15.75" customHeight="1">
      <c r="A822" s="28"/>
    </row>
    <row r="823" ht="15.75" customHeight="1">
      <c r="A823" s="28"/>
    </row>
    <row r="824" ht="15.75" customHeight="1">
      <c r="A824" s="28"/>
    </row>
    <row r="825" ht="15.75" customHeight="1">
      <c r="A825" s="28"/>
    </row>
    <row r="826" ht="15.75" customHeight="1">
      <c r="A826" s="28"/>
    </row>
    <row r="827" ht="15.75" customHeight="1">
      <c r="A827" s="28"/>
    </row>
    <row r="828" ht="15.75" customHeight="1">
      <c r="A828" s="28"/>
    </row>
    <row r="829" ht="15.75" customHeight="1">
      <c r="A829" s="28"/>
    </row>
    <row r="830" ht="15.75" customHeight="1">
      <c r="A830" s="28"/>
    </row>
    <row r="831" ht="15.75" customHeight="1">
      <c r="A831" s="28"/>
    </row>
    <row r="832" ht="15.75" customHeight="1">
      <c r="A832" s="28"/>
    </row>
    <row r="833" ht="15.75" customHeight="1">
      <c r="A833" s="28"/>
    </row>
    <row r="834" ht="15.75" customHeight="1">
      <c r="A834" s="28"/>
    </row>
    <row r="835" ht="15.75" customHeight="1">
      <c r="A835" s="28"/>
    </row>
    <row r="836" ht="15.75" customHeight="1">
      <c r="A836" s="28"/>
    </row>
    <row r="837" ht="15.75" customHeight="1">
      <c r="A837" s="28"/>
    </row>
    <row r="838" ht="15.75" customHeight="1">
      <c r="A838" s="28"/>
    </row>
    <row r="839" ht="15.75" customHeight="1">
      <c r="A839" s="28"/>
    </row>
    <row r="840" ht="15.75" customHeight="1">
      <c r="A840" s="28"/>
    </row>
    <row r="841" ht="15.75" customHeight="1">
      <c r="A841" s="28"/>
    </row>
    <row r="842" ht="15.75" customHeight="1">
      <c r="A842" s="28"/>
    </row>
    <row r="843" ht="15.75" customHeight="1">
      <c r="A843" s="28"/>
    </row>
    <row r="844" ht="15.75" customHeight="1">
      <c r="A844" s="28"/>
    </row>
    <row r="845" ht="15.75" customHeight="1">
      <c r="A845" s="28"/>
    </row>
    <row r="846" ht="15.75" customHeight="1">
      <c r="A846" s="28"/>
    </row>
    <row r="847" ht="15.75" customHeight="1">
      <c r="A847" s="28"/>
    </row>
    <row r="848" ht="15.75" customHeight="1">
      <c r="A848" s="28"/>
    </row>
    <row r="849" ht="15.75" customHeight="1">
      <c r="A849" s="28"/>
    </row>
    <row r="850" ht="15.75" customHeight="1">
      <c r="A850" s="28"/>
    </row>
    <row r="851" ht="15.75" customHeight="1">
      <c r="A851" s="28"/>
    </row>
    <row r="852" ht="15.75" customHeight="1">
      <c r="A852" s="28"/>
    </row>
    <row r="853" ht="15.75" customHeight="1">
      <c r="A853" s="28"/>
    </row>
    <row r="854" ht="15.75" customHeight="1">
      <c r="A854" s="28"/>
    </row>
    <row r="855" ht="15.75" customHeight="1">
      <c r="A855" s="28"/>
    </row>
    <row r="856" ht="15.75" customHeight="1">
      <c r="A856" s="28"/>
    </row>
    <row r="857" ht="15.75" customHeight="1">
      <c r="A857" s="28"/>
    </row>
    <row r="858" ht="15.75" customHeight="1">
      <c r="A858" s="28"/>
    </row>
    <row r="859" ht="15.75" customHeight="1">
      <c r="A859" s="28"/>
    </row>
    <row r="860" ht="15.75" customHeight="1">
      <c r="A860" s="28"/>
    </row>
    <row r="861" ht="15.75" customHeight="1">
      <c r="A861" s="28"/>
    </row>
    <row r="862" ht="15.75" customHeight="1">
      <c r="A862" s="28"/>
    </row>
    <row r="863" ht="15.75" customHeight="1">
      <c r="A863" s="28"/>
    </row>
    <row r="864" ht="15.75" customHeight="1">
      <c r="A864" s="28"/>
    </row>
    <row r="865" ht="15.75" customHeight="1">
      <c r="A865" s="28"/>
    </row>
    <row r="866" ht="15.75" customHeight="1">
      <c r="A866" s="28"/>
    </row>
    <row r="867" ht="15.75" customHeight="1">
      <c r="A867" s="28"/>
    </row>
    <row r="868" ht="15.75" customHeight="1">
      <c r="A868" s="28"/>
    </row>
    <row r="869" ht="15.75" customHeight="1">
      <c r="A869" s="28"/>
    </row>
    <row r="870" ht="15.75" customHeight="1">
      <c r="A870" s="28"/>
    </row>
    <row r="871" ht="15.75" customHeight="1">
      <c r="A871" s="28"/>
    </row>
    <row r="872" ht="15.75" customHeight="1">
      <c r="A872" s="28"/>
    </row>
    <row r="873" ht="15.75" customHeight="1">
      <c r="A873" s="28"/>
    </row>
    <row r="874" ht="15.75" customHeight="1">
      <c r="A874" s="28"/>
    </row>
    <row r="875" ht="15.75" customHeight="1">
      <c r="A875" s="28"/>
    </row>
    <row r="876" ht="15.75" customHeight="1">
      <c r="A876" s="28"/>
    </row>
    <row r="877" ht="15.75" customHeight="1">
      <c r="A877" s="28"/>
    </row>
    <row r="878" ht="15.75" customHeight="1">
      <c r="A878" s="28"/>
    </row>
    <row r="879" ht="15.75" customHeight="1">
      <c r="A879" s="28"/>
    </row>
    <row r="880" ht="15.75" customHeight="1">
      <c r="A880" s="28"/>
    </row>
    <row r="881" ht="15.75" customHeight="1">
      <c r="A881" s="28"/>
    </row>
    <row r="882" ht="15.75" customHeight="1">
      <c r="A882" s="28"/>
    </row>
    <row r="883" ht="15.75" customHeight="1">
      <c r="A883" s="28"/>
    </row>
    <row r="884" ht="15.75" customHeight="1">
      <c r="A884" s="28"/>
    </row>
    <row r="885" ht="15.75" customHeight="1">
      <c r="A885" s="28"/>
    </row>
    <row r="886" ht="15.75" customHeight="1">
      <c r="A886" s="28"/>
    </row>
    <row r="887" ht="15.75" customHeight="1">
      <c r="A887" s="28"/>
    </row>
    <row r="888" ht="15.75" customHeight="1">
      <c r="A888" s="28"/>
    </row>
    <row r="889" ht="15.75" customHeight="1">
      <c r="A889" s="28"/>
    </row>
    <row r="890" ht="15.75" customHeight="1">
      <c r="A890" s="28"/>
    </row>
    <row r="891" ht="15.75" customHeight="1">
      <c r="A891" s="28"/>
    </row>
    <row r="892" ht="15.75" customHeight="1">
      <c r="A892" s="28"/>
    </row>
    <row r="893" ht="15.75" customHeight="1">
      <c r="A893" s="28"/>
    </row>
    <row r="894" ht="15.75" customHeight="1">
      <c r="A894" s="28"/>
    </row>
    <row r="895" ht="15.75" customHeight="1">
      <c r="A895" s="28"/>
    </row>
    <row r="896" ht="15.75" customHeight="1">
      <c r="A896" s="28"/>
    </row>
    <row r="897" ht="15.75" customHeight="1">
      <c r="A897" s="28"/>
    </row>
    <row r="898" ht="15.75" customHeight="1">
      <c r="A898" s="28"/>
    </row>
    <row r="899" ht="15.75" customHeight="1">
      <c r="A899" s="28"/>
    </row>
    <row r="900" ht="15.75" customHeight="1">
      <c r="A900" s="28"/>
    </row>
    <row r="901" ht="15.75" customHeight="1">
      <c r="A901" s="28"/>
    </row>
    <row r="902" ht="15.75" customHeight="1">
      <c r="A902" s="28"/>
    </row>
    <row r="903" ht="15.75" customHeight="1">
      <c r="A903" s="28"/>
    </row>
    <row r="904" ht="15.75" customHeight="1">
      <c r="A904" s="28"/>
    </row>
    <row r="905" ht="15.75" customHeight="1">
      <c r="A905" s="28"/>
    </row>
    <row r="906" ht="15.75" customHeight="1">
      <c r="A906" s="28"/>
    </row>
    <row r="907" ht="15.75" customHeight="1">
      <c r="A907" s="28"/>
    </row>
    <row r="908" ht="15.75" customHeight="1">
      <c r="A908" s="28"/>
    </row>
    <row r="909" ht="15.75" customHeight="1">
      <c r="A909" s="28"/>
    </row>
    <row r="910" ht="15.75" customHeight="1">
      <c r="A910" s="28"/>
    </row>
    <row r="911" ht="15.75" customHeight="1">
      <c r="A911" s="28"/>
    </row>
    <row r="912" ht="15.75" customHeight="1">
      <c r="A912" s="28"/>
    </row>
    <row r="913" ht="15.75" customHeight="1">
      <c r="A913" s="28"/>
    </row>
    <row r="914" ht="15.75" customHeight="1">
      <c r="A914" s="28"/>
    </row>
    <row r="915" ht="15.75" customHeight="1">
      <c r="A915" s="28"/>
    </row>
    <row r="916" ht="15.75" customHeight="1">
      <c r="A916" s="28"/>
    </row>
    <row r="917" ht="15.75" customHeight="1">
      <c r="A917" s="28"/>
    </row>
    <row r="918" ht="15.75" customHeight="1">
      <c r="A918" s="28"/>
    </row>
    <row r="919" ht="15.75" customHeight="1">
      <c r="A919" s="28"/>
    </row>
    <row r="920" ht="15.75" customHeight="1">
      <c r="A920" s="28"/>
    </row>
    <row r="921" ht="15.75" customHeight="1">
      <c r="A921" s="28"/>
    </row>
    <row r="922" ht="15.75" customHeight="1">
      <c r="A922" s="28"/>
    </row>
    <row r="923" ht="15.75" customHeight="1">
      <c r="A923" s="28"/>
    </row>
    <row r="924" ht="15.75" customHeight="1">
      <c r="A924" s="28"/>
    </row>
    <row r="925" ht="15.75" customHeight="1">
      <c r="A925" s="28"/>
    </row>
    <row r="926" ht="15.75" customHeight="1">
      <c r="A926" s="28"/>
    </row>
    <row r="927" ht="15.75" customHeight="1">
      <c r="A927" s="28"/>
    </row>
    <row r="928" ht="15.75" customHeight="1">
      <c r="A928" s="28"/>
    </row>
    <row r="929" ht="15.75" customHeight="1">
      <c r="A929" s="28"/>
    </row>
    <row r="930" ht="15.75" customHeight="1">
      <c r="A930" s="28"/>
    </row>
    <row r="931" ht="15.75" customHeight="1">
      <c r="A931" s="28"/>
    </row>
    <row r="932" ht="15.75" customHeight="1">
      <c r="A932" s="28"/>
    </row>
    <row r="933" ht="15.75" customHeight="1">
      <c r="A933" s="28"/>
    </row>
    <row r="934" ht="15.75" customHeight="1">
      <c r="A934" s="28"/>
    </row>
    <row r="935" ht="15.75" customHeight="1">
      <c r="A935" s="28"/>
    </row>
    <row r="936" ht="15.75" customHeight="1">
      <c r="A936" s="28"/>
    </row>
    <row r="937" ht="15.75" customHeight="1">
      <c r="A937" s="28"/>
    </row>
    <row r="938" ht="15.75" customHeight="1">
      <c r="A938" s="28"/>
    </row>
    <row r="939" ht="15.75" customHeight="1">
      <c r="A939" s="28"/>
    </row>
    <row r="940" ht="15.75" customHeight="1">
      <c r="A940" s="28"/>
    </row>
    <row r="941" ht="15.75" customHeight="1">
      <c r="A941" s="28"/>
    </row>
    <row r="942" ht="15.75" customHeight="1">
      <c r="A942" s="28"/>
    </row>
    <row r="943" ht="15.75" customHeight="1">
      <c r="A943" s="28"/>
    </row>
    <row r="944" ht="15.75" customHeight="1">
      <c r="A944" s="28"/>
    </row>
    <row r="945" ht="15.75" customHeight="1">
      <c r="A945" s="28"/>
    </row>
    <row r="946" ht="15.75" customHeight="1">
      <c r="A946" s="28"/>
    </row>
    <row r="947" ht="15.75" customHeight="1">
      <c r="A947" s="28"/>
    </row>
    <row r="948" ht="15.75" customHeight="1">
      <c r="A948" s="28"/>
    </row>
    <row r="949" ht="15.75" customHeight="1">
      <c r="A949" s="28"/>
    </row>
    <row r="950" ht="15.75" customHeight="1">
      <c r="A950" s="28"/>
    </row>
    <row r="951" ht="15.75" customHeight="1">
      <c r="A951" s="28"/>
    </row>
    <row r="952" ht="15.75" customHeight="1">
      <c r="A952" s="28"/>
    </row>
    <row r="953" ht="15.75" customHeight="1">
      <c r="A953" s="28"/>
    </row>
    <row r="954" ht="15.75" customHeight="1">
      <c r="A954" s="28"/>
    </row>
    <row r="955" ht="15.75" customHeight="1">
      <c r="A955" s="28"/>
    </row>
    <row r="956" ht="15.75" customHeight="1">
      <c r="A956" s="28"/>
    </row>
    <row r="957" ht="15.75" customHeight="1">
      <c r="A957" s="28"/>
    </row>
    <row r="958" ht="15.75" customHeight="1">
      <c r="A958" s="28"/>
    </row>
    <row r="959" ht="15.75" customHeight="1">
      <c r="A959" s="28"/>
    </row>
    <row r="960" ht="15.75" customHeight="1">
      <c r="A960" s="28"/>
    </row>
    <row r="961" ht="15.75" customHeight="1">
      <c r="A961" s="28"/>
    </row>
    <row r="962" ht="15.75" customHeight="1">
      <c r="A962" s="28"/>
    </row>
    <row r="963" ht="15.75" customHeight="1">
      <c r="A963" s="28"/>
    </row>
    <row r="964" ht="15.75" customHeight="1">
      <c r="A964" s="28"/>
    </row>
    <row r="965" ht="15.75" customHeight="1">
      <c r="A965" s="28"/>
    </row>
    <row r="966" ht="15.75" customHeight="1">
      <c r="A966" s="28"/>
    </row>
    <row r="967" ht="15.75" customHeight="1">
      <c r="A967" s="28"/>
    </row>
    <row r="968" ht="15.75" customHeight="1">
      <c r="A968" s="28"/>
    </row>
    <row r="969" ht="15.75" customHeight="1">
      <c r="A969" s="28"/>
    </row>
    <row r="970" ht="15.75" customHeight="1">
      <c r="A970" s="28"/>
    </row>
    <row r="971" ht="15.75" customHeight="1">
      <c r="A971" s="28"/>
    </row>
    <row r="972" ht="15.75" customHeight="1">
      <c r="A972" s="28"/>
    </row>
    <row r="973" ht="15.75" customHeight="1">
      <c r="A973" s="28"/>
    </row>
    <row r="974" ht="15.75" customHeight="1">
      <c r="A974" s="28"/>
    </row>
    <row r="975" ht="15.75" customHeight="1">
      <c r="A975" s="28"/>
    </row>
    <row r="976" ht="15.75" customHeight="1">
      <c r="A976" s="28"/>
    </row>
    <row r="977" ht="15.75" customHeight="1">
      <c r="A977" s="28"/>
    </row>
    <row r="978" ht="15.75" customHeight="1">
      <c r="A978" s="28"/>
    </row>
    <row r="979" ht="15.75" customHeight="1">
      <c r="A979" s="28"/>
    </row>
    <row r="980" ht="15.75" customHeight="1">
      <c r="A980" s="28"/>
    </row>
    <row r="981" ht="15.75" customHeight="1">
      <c r="A981" s="28"/>
    </row>
    <row r="982" ht="15.75" customHeight="1">
      <c r="A982" s="28"/>
    </row>
    <row r="983" ht="15.75" customHeight="1">
      <c r="A983" s="28"/>
    </row>
    <row r="984" ht="15.75" customHeight="1">
      <c r="A984" s="28"/>
    </row>
    <row r="985" ht="15.75" customHeight="1">
      <c r="A985" s="28"/>
    </row>
    <row r="986" ht="15.75" customHeight="1">
      <c r="A986" s="28"/>
    </row>
    <row r="987" ht="15.75" customHeight="1">
      <c r="A987" s="28"/>
    </row>
    <row r="988" ht="15.75" customHeight="1">
      <c r="A988" s="28"/>
    </row>
    <row r="989" ht="15.75" customHeight="1">
      <c r="A989" s="28"/>
    </row>
    <row r="990" ht="15.75" customHeight="1">
      <c r="A990" s="28"/>
    </row>
    <row r="991" ht="15.75" customHeight="1">
      <c r="A991" s="28"/>
    </row>
    <row r="992" ht="15.75" customHeight="1">
      <c r="A992" s="28"/>
    </row>
    <row r="993" ht="15.75" customHeight="1">
      <c r="A993" s="28"/>
    </row>
    <row r="994" ht="15.75" customHeight="1">
      <c r="A994" s="28"/>
    </row>
    <row r="995" ht="15.75" customHeight="1">
      <c r="A995" s="28"/>
    </row>
    <row r="996" ht="15.75" customHeight="1">
      <c r="A996" s="28"/>
    </row>
    <row r="997" ht="15.75" customHeight="1">
      <c r="A997" s="28"/>
    </row>
  </sheetData>
  <mergeCells count="11">
    <mergeCell ref="E78:F78"/>
    <mergeCell ref="E85:F85"/>
    <mergeCell ref="E92:F92"/>
    <mergeCell ref="E99:F99"/>
    <mergeCell ref="A11:A12"/>
    <mergeCell ref="B11:I11"/>
    <mergeCell ref="Q46:R46"/>
    <mergeCell ref="Q50:Q51"/>
    <mergeCell ref="Q54:Q57"/>
    <mergeCell ref="E71:F71"/>
    <mergeCell ref="E72:F72"/>
  </mergeCells>
  <dataValidations>
    <dataValidation type="list" allowBlank="1" showErrorMessage="1" sqref="V12:V45">
      <formula1>"DONE,NOT YET"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2024-01-13T08:08:56Z</dcterms:created>
  <dc:creator>Nanda Dewi Challista</dc:creator>
</cp:coreProperties>
</file>